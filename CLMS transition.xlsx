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mc:AlternateContent xmlns:mc="http://schemas.openxmlformats.org/markup-compatibility/2006">
    <mc:Choice Requires="x15">
      <x15ac:absPath xmlns:x15ac="http://schemas.microsoft.com/office/spreadsheetml/2010/11/ac" url="https://systragroup.sharepoint.com/sites/EEAProject/Documents partages/General/Tasks/WEkEO/WEKEOtoCDSE/"/>
    </mc:Choice>
  </mc:AlternateContent>
  <xr:revisionPtr revIDLastSave="985" documentId="8_{39735866-2EB7-4349-807F-7A109CD4504B}" xr6:coauthVersionLast="47" xr6:coauthVersionMax="47" xr10:uidLastSave="{FB957821-2668-4E93-A315-4C143BB381E1}"/>
  <bookViews>
    <workbookView xWindow="-15525" yWindow="-21720" windowWidth="51840" windowHeight="21120" firstSheet="1" activeTab="1" xr2:uid="{BC62AE11-79AC-44E7-B494-8B160BB3F784}"/>
  </bookViews>
  <sheets>
    <sheet name="Current" sheetId="1" r:id="rId1"/>
    <sheet name="New" sheetId="3" r:id="rId2"/>
  </sheets>
  <definedNames>
    <definedName name="_xlnm._FilterDatabase" localSheetId="0" hidden="1">Current!$C$1:$E$178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3" l="1" a="1"/>
  <c r="K2" i="3"/>
  <c r="K3" i="3" a="1"/>
  <c r="K3" i="3"/>
  <c r="K4" i="3" a="1"/>
  <c r="K4" i="3"/>
  <c r="K5" i="3" a="1"/>
  <c r="K5" i="3"/>
  <c r="K6" i="3" a="1"/>
  <c r="K6" i="3"/>
  <c r="K7" i="3" a="1"/>
  <c r="K7" i="3"/>
  <c r="K8" i="3" a="1"/>
  <c r="K8" i="3"/>
  <c r="K9" i="3" a="1"/>
  <c r="K9" i="3"/>
  <c r="K10" i="3" a="1"/>
  <c r="K10" i="3"/>
  <c r="K11" i="3" a="1"/>
  <c r="K11" i="3"/>
  <c r="K12" i="3" a="1"/>
  <c r="K12" i="3"/>
  <c r="K13" i="3" a="1"/>
  <c r="K13" i="3"/>
  <c r="K14" i="3" a="1"/>
  <c r="K14" i="3"/>
  <c r="K15" i="3" a="1"/>
  <c r="K15" i="3"/>
  <c r="K16" i="3" a="1"/>
  <c r="K16" i="3"/>
  <c r="K17" i="3" a="1"/>
  <c r="K17" i="3"/>
  <c r="K18" i="3" a="1"/>
  <c r="K18" i="3"/>
  <c r="K19" i="3" a="1"/>
  <c r="K19" i="3"/>
  <c r="K20" i="3" a="1"/>
  <c r="K20" i="3"/>
  <c r="K21" i="3" a="1"/>
  <c r="K21" i="3"/>
  <c r="K22" i="3" a="1"/>
  <c r="K22" i="3"/>
  <c r="K23" i="3" a="1"/>
  <c r="K23" i="3"/>
  <c r="K24" i="3" a="1"/>
  <c r="K24" i="3"/>
  <c r="K25" i="3" a="1"/>
  <c r="K25" i="3"/>
  <c r="K26" i="3" a="1"/>
  <c r="K26" i="3"/>
  <c r="K27" i="3" a="1"/>
  <c r="K27" i="3"/>
  <c r="K28" i="3" a="1"/>
  <c r="K28" i="3"/>
  <c r="K29" i="3" a="1"/>
  <c r="K29" i="3"/>
  <c r="K30" i="3" a="1"/>
  <c r="K30" i="3"/>
  <c r="K31" i="3" a="1"/>
  <c r="K31" i="3"/>
  <c r="K32" i="3" a="1"/>
  <c r="K32" i="3"/>
  <c r="K33" i="3" a="1"/>
  <c r="K33" i="3"/>
  <c r="K34" i="3" a="1"/>
  <c r="K34" i="3"/>
  <c r="K35" i="3" a="1"/>
  <c r="K35" i="3"/>
  <c r="K36" i="3" a="1"/>
  <c r="K36" i="3"/>
  <c r="K37" i="3" a="1"/>
  <c r="K37" i="3"/>
  <c r="K38" i="3" a="1"/>
  <c r="K38" i="3"/>
  <c r="K39" i="3" a="1"/>
  <c r="K39" i="3"/>
  <c r="K40" i="3" a="1"/>
  <c r="K40" i="3"/>
  <c r="K41" i="3" a="1"/>
  <c r="K41" i="3"/>
  <c r="K42" i="3" a="1"/>
  <c r="K42" i="3"/>
  <c r="K43" i="3" a="1"/>
  <c r="K43" i="3"/>
  <c r="K44" i="3" a="1"/>
  <c r="K44" i="3"/>
  <c r="K45" i="3" a="1"/>
  <c r="K45" i="3"/>
  <c r="K46" i="3" a="1"/>
  <c r="K46" i="3"/>
  <c r="K47" i="3" a="1"/>
  <c r="K47" i="3"/>
  <c r="K48" i="3" a="1"/>
  <c r="K48" i="3"/>
  <c r="K49" i="3" a="1"/>
  <c r="K49" i="3"/>
  <c r="K50" i="3" a="1"/>
  <c r="K50" i="3"/>
  <c r="K51" i="3" a="1"/>
  <c r="K51" i="3"/>
  <c r="K52" i="3" a="1"/>
  <c r="K52" i="3"/>
  <c r="K53" i="3" a="1"/>
  <c r="K53" i="3"/>
  <c r="K54" i="3" a="1"/>
  <c r="K54" i="3"/>
  <c r="K55" i="3" a="1"/>
  <c r="K55" i="3"/>
  <c r="K56" i="3" a="1"/>
  <c r="K56" i="3"/>
  <c r="K57" i="3" a="1"/>
  <c r="K57" i="3"/>
  <c r="K58" i="3" a="1"/>
  <c r="K58" i="3"/>
  <c r="K59" i="3" a="1"/>
  <c r="K59" i="3"/>
  <c r="K60" i="3" a="1"/>
  <c r="K60" i="3"/>
  <c r="K61" i="3" a="1"/>
  <c r="K61" i="3"/>
  <c r="K62" i="3" a="1"/>
  <c r="K62" i="3"/>
  <c r="K63" i="3" a="1"/>
  <c r="K63" i="3"/>
  <c r="K64" i="3" a="1"/>
  <c r="K64" i="3"/>
  <c r="K65" i="3" a="1"/>
  <c r="K65" i="3"/>
  <c r="K66" i="3" a="1"/>
  <c r="K66" i="3"/>
  <c r="K67" i="3" a="1"/>
  <c r="K67" i="3"/>
  <c r="K68" i="3" a="1"/>
  <c r="K68" i="3"/>
  <c r="K69" i="3" a="1"/>
  <c r="K69" i="3"/>
  <c r="K70" i="3" a="1"/>
  <c r="K70" i="3"/>
  <c r="K71" i="3" a="1"/>
  <c r="K71" i="3"/>
  <c r="K72" i="3" a="1"/>
  <c r="K72" i="3"/>
  <c r="K73" i="3" a="1"/>
  <c r="K73" i="3"/>
  <c r="K77" i="3" a="1"/>
  <c r="K77" i="3"/>
  <c r="K78" i="3" a="1"/>
  <c r="K78" i="3"/>
  <c r="K79" i="3" a="1"/>
  <c r="K79" i="3"/>
  <c r="K80" i="3" a="1"/>
  <c r="K80" i="3"/>
  <c r="K81" i="3" a="1"/>
  <c r="K81" i="3"/>
  <c r="K82" i="3" a="1"/>
  <c r="K82" i="3"/>
  <c r="K83" i="3" a="1"/>
  <c r="K83" i="3"/>
  <c r="K84" i="3" a="1"/>
  <c r="K84" i="3"/>
  <c r="K85" i="3" a="1"/>
  <c r="K85" i="3"/>
  <c r="K86" i="3" a="1"/>
  <c r="K86" i="3"/>
  <c r="K87" i="3" a="1"/>
  <c r="K87" i="3"/>
  <c r="K88" i="3" a="1"/>
  <c r="K88" i="3"/>
  <c r="K89" i="3" a="1"/>
  <c r="K89" i="3"/>
  <c r="K90" i="3" a="1"/>
  <c r="K90" i="3"/>
  <c r="K91" i="3" a="1"/>
  <c r="K91" i="3"/>
  <c r="K92" i="3" a="1"/>
  <c r="K92" i="3"/>
  <c r="K93" i="3" a="1"/>
  <c r="K93" i="3"/>
  <c r="K94" i="3" a="1"/>
  <c r="K94" i="3"/>
  <c r="K95" i="3" a="1"/>
  <c r="K95" i="3"/>
  <c r="K96" i="3" a="1"/>
  <c r="K96" i="3"/>
  <c r="K97" i="3" a="1"/>
  <c r="K97" i="3"/>
  <c r="K98" i="3" a="1"/>
  <c r="K98" i="3"/>
  <c r="K99" i="3" a="1"/>
  <c r="K99" i="3"/>
  <c r="K100" i="3" a="1"/>
  <c r="K100" i="3"/>
  <c r="K101" i="3" a="1"/>
  <c r="K101" i="3"/>
  <c r="K102" i="3" a="1"/>
  <c r="K102" i="3"/>
  <c r="K103" i="3" a="1"/>
  <c r="K103" i="3"/>
  <c r="K104" i="3" a="1"/>
  <c r="K104" i="3"/>
  <c r="K105" i="3" a="1"/>
  <c r="K105" i="3"/>
  <c r="K106" i="3" a="1"/>
  <c r="K106" i="3"/>
  <c r="K107" i="3" a="1"/>
  <c r="K107" i="3"/>
  <c r="K108" i="3" a="1"/>
  <c r="K108" i="3"/>
  <c r="K109" i="3" a="1"/>
  <c r="K109" i="3"/>
  <c r="K110" i="3" a="1"/>
  <c r="K110" i="3"/>
  <c r="K111" i="3" a="1"/>
  <c r="K111" i="3"/>
  <c r="K112" i="3" a="1"/>
  <c r="K112" i="3"/>
  <c r="K113" i="3" a="1"/>
  <c r="K113" i="3"/>
  <c r="K114" i="3" a="1"/>
  <c r="K114" i="3"/>
  <c r="K115" i="3" a="1"/>
  <c r="K115" i="3"/>
  <c r="K116" i="3" a="1"/>
  <c r="K116" i="3"/>
  <c r="K117" i="3" a="1"/>
  <c r="K117" i="3"/>
  <c r="K118" i="3" a="1"/>
  <c r="K118" i="3"/>
  <c r="K119" i="3" a="1"/>
  <c r="K119" i="3"/>
  <c r="K120" i="3" a="1"/>
  <c r="K120" i="3"/>
  <c r="K121" i="3" a="1"/>
  <c r="K121" i="3"/>
  <c r="K122" i="3" a="1"/>
  <c r="K122" i="3"/>
  <c r="K123" i="3" a="1"/>
  <c r="K123" i="3"/>
  <c r="K124" i="3" a="1"/>
  <c r="K124" i="3"/>
  <c r="K136" i="3" a="1"/>
  <c r="K136" i="3"/>
  <c r="K137" i="3" a="1"/>
  <c r="K137" i="3"/>
  <c r="K138" i="3" a="1"/>
  <c r="K138" i="3"/>
  <c r="K139" i="3" a="1"/>
  <c r="K139" i="3"/>
  <c r="K140" i="3" a="1"/>
  <c r="K140" i="3"/>
  <c r="K141" i="3" a="1"/>
  <c r="K141" i="3"/>
  <c r="K142" i="3" a="1"/>
  <c r="K142" i="3"/>
  <c r="K143" i="3" a="1"/>
  <c r="K143" i="3"/>
  <c r="K144" i="3" a="1"/>
  <c r="K144" i="3"/>
  <c r="K145" i="3" a="1"/>
  <c r="K145" i="3"/>
  <c r="K146" i="3" a="1"/>
  <c r="K146" i="3"/>
  <c r="K147" i="3" a="1"/>
  <c r="K147" i="3"/>
  <c r="K148" i="3" a="1"/>
  <c r="K148" i="3"/>
  <c r="K125" i="3" a="1"/>
  <c r="K125" i="3"/>
  <c r="K126" i="3" a="1"/>
  <c r="K126" i="3"/>
  <c r="K127" i="3" a="1"/>
  <c r="K127" i="3"/>
  <c r="K128" i="3" a="1"/>
  <c r="K128" i="3"/>
  <c r="K129" i="3" a="1"/>
  <c r="K129" i="3"/>
  <c r="K130" i="3" a="1"/>
  <c r="K130" i="3"/>
  <c r="K131" i="3" a="1"/>
  <c r="K131" i="3"/>
  <c r="K132" i="3" a="1"/>
  <c r="K132" i="3"/>
  <c r="K133" i="3" a="1"/>
  <c r="K133" i="3"/>
  <c r="K134" i="3" a="1"/>
  <c r="K134" i="3"/>
  <c r="K135" i="3" a="1"/>
  <c r="K135" i="3"/>
  <c r="G2" i="1"/>
  <c r="F2" i="1"/>
  <c r="A3" i="3" l="1"/>
  <c r="A4" i="3" s="1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l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3" i="1"/>
  <c r="G3" i="1" l="1"/>
  <c r="A119" i="3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A133" i="3" s="1"/>
  <c r="A134" i="3" s="1"/>
  <c r="A135" i="3" s="1"/>
  <c r="A136" i="3" s="1"/>
  <c r="A137" i="3" s="1"/>
  <c r="A138" i="3" s="1"/>
  <c r="A139" i="3" s="1"/>
  <c r="A140" i="3" s="1"/>
  <c r="A141" i="3" s="1"/>
  <c r="A142" i="3" s="1"/>
  <c r="A143" i="3" s="1"/>
  <c r="A144" i="3" s="1"/>
  <c r="A145" i="3" s="1"/>
  <c r="A146" i="3" s="1"/>
  <c r="A147" i="3" s="1"/>
  <c r="A148" i="3" s="1"/>
  <c r="F3" i="1"/>
  <c r="A4" i="1"/>
  <c r="G4" i="1" l="1"/>
  <c r="F4" i="1"/>
  <c r="A5" i="1"/>
  <c r="G5" i="1" l="1"/>
  <c r="A6" i="1"/>
  <c r="F5" i="1"/>
  <c r="A7" i="1"/>
  <c r="G7" i="1" s="1"/>
  <c r="G6" i="1" l="1"/>
  <c r="F7" i="1"/>
  <c r="F6" i="1"/>
  <c r="A8" i="1"/>
  <c r="G8" i="1" l="1"/>
  <c r="F8" i="1"/>
  <c r="A9" i="1"/>
  <c r="G9" i="1" l="1"/>
  <c r="F9" i="1"/>
  <c r="A10" i="1"/>
  <c r="G10" i="1" l="1"/>
  <c r="F10" i="1"/>
  <c r="A11" i="1"/>
  <c r="G11" i="1" l="1"/>
  <c r="F11" i="1"/>
  <c r="A12" i="1"/>
  <c r="G12" i="1" l="1"/>
  <c r="F12" i="1"/>
  <c r="A13" i="1"/>
  <c r="G13" i="1" l="1"/>
  <c r="F13" i="1"/>
  <c r="A14" i="1"/>
  <c r="G14" i="1" l="1"/>
  <c r="F14" i="1"/>
  <c r="A15" i="1"/>
  <c r="G15" i="1" l="1"/>
  <c r="F15" i="1"/>
  <c r="A16" i="1"/>
  <c r="G16" i="1" l="1"/>
  <c r="F16" i="1"/>
  <c r="A17" i="1"/>
  <c r="G17" i="1" l="1"/>
  <c r="F17" i="1"/>
  <c r="A18" i="1"/>
  <c r="G18" i="1" l="1"/>
  <c r="F18" i="1"/>
  <c r="A19" i="1"/>
  <c r="G19" i="1" l="1"/>
  <c r="F19" i="1"/>
  <c r="A20" i="1"/>
  <c r="G20" i="1" l="1"/>
  <c r="F20" i="1"/>
  <c r="A21" i="1"/>
  <c r="G21" i="1" l="1"/>
  <c r="F21" i="1"/>
  <c r="A22" i="1"/>
  <c r="G22" i="1" l="1"/>
  <c r="F22" i="1"/>
  <c r="A23" i="1"/>
  <c r="G23" i="1" l="1"/>
  <c r="F23" i="1"/>
  <c r="A24" i="1"/>
  <c r="G24" i="1" l="1"/>
  <c r="F24" i="1"/>
  <c r="A25" i="1"/>
  <c r="G25" i="1" l="1"/>
  <c r="F25" i="1"/>
  <c r="A26" i="1"/>
  <c r="G26" i="1" l="1"/>
  <c r="F26" i="1"/>
  <c r="A27" i="1"/>
  <c r="G27" i="1" l="1"/>
  <c r="F27" i="1"/>
  <c r="A28" i="1"/>
  <c r="G28" i="1" l="1"/>
  <c r="F28" i="1"/>
  <c r="A29" i="1"/>
  <c r="G29" i="1" l="1"/>
  <c r="F29" i="1"/>
  <c r="A30" i="1"/>
  <c r="G30" i="1" l="1"/>
  <c r="F30" i="1"/>
  <c r="A31" i="1"/>
  <c r="G31" i="1" l="1"/>
  <c r="F31" i="1"/>
  <c r="A32" i="1"/>
  <c r="G32" i="1" l="1"/>
  <c r="F32" i="1"/>
  <c r="A33" i="1"/>
  <c r="G33" i="1" l="1"/>
  <c r="F33" i="1"/>
  <c r="A34" i="1"/>
  <c r="G34" i="1" l="1"/>
  <c r="F34" i="1"/>
  <c r="A35" i="1"/>
  <c r="G35" i="1" l="1"/>
  <c r="F35" i="1"/>
  <c r="A36" i="1"/>
  <c r="G36" i="1" l="1"/>
  <c r="F36" i="1"/>
  <c r="A37" i="1"/>
  <c r="G37" i="1" l="1"/>
  <c r="F37" i="1"/>
  <c r="A38" i="1"/>
  <c r="G38" i="1" l="1"/>
  <c r="F38" i="1"/>
  <c r="A39" i="1"/>
  <c r="G39" i="1" l="1"/>
  <c r="F39" i="1"/>
  <c r="A40" i="1"/>
  <c r="G40" i="1" l="1"/>
  <c r="F40" i="1"/>
  <c r="A41" i="1"/>
  <c r="G41" i="1" l="1"/>
  <c r="F41" i="1"/>
  <c r="A42" i="1"/>
  <c r="G42" i="1" l="1"/>
  <c r="F42" i="1"/>
  <c r="A43" i="1"/>
  <c r="G43" i="1" l="1"/>
  <c r="F43" i="1"/>
  <c r="A44" i="1"/>
  <c r="G44" i="1" l="1"/>
  <c r="F44" i="1"/>
  <c r="A45" i="1"/>
  <c r="G45" i="1" l="1"/>
  <c r="F45" i="1"/>
  <c r="A46" i="1"/>
  <c r="G46" i="1" l="1"/>
  <c r="F46" i="1"/>
  <c r="A47" i="1"/>
  <c r="G47" i="1" l="1"/>
  <c r="F47" i="1"/>
  <c r="A48" i="1"/>
  <c r="G48" i="1" l="1"/>
  <c r="F48" i="1"/>
  <c r="A49" i="1"/>
  <c r="G49" i="1" l="1"/>
  <c r="F49" i="1"/>
  <c r="A50" i="1"/>
  <c r="G50" i="1" l="1"/>
  <c r="F50" i="1"/>
  <c r="A51" i="1"/>
  <c r="G51" i="1" l="1"/>
  <c r="F51" i="1"/>
  <c r="A52" i="1"/>
  <c r="G52" i="1" l="1"/>
  <c r="F52" i="1"/>
  <c r="A53" i="1"/>
  <c r="G53" i="1" l="1"/>
  <c r="F53" i="1"/>
  <c r="A54" i="1"/>
  <c r="G54" i="1" l="1"/>
  <c r="F54" i="1"/>
  <c r="A55" i="1"/>
  <c r="G55" i="1" l="1"/>
  <c r="F55" i="1"/>
  <c r="A56" i="1"/>
  <c r="G56" i="1" l="1"/>
  <c r="F56" i="1"/>
  <c r="A57" i="1"/>
  <c r="G57" i="1" l="1"/>
  <c r="F57" i="1"/>
  <c r="A58" i="1"/>
  <c r="G58" i="1" l="1"/>
  <c r="F58" i="1"/>
  <c r="A59" i="1"/>
  <c r="G59" i="1" l="1"/>
  <c r="F59" i="1"/>
  <c r="A60" i="1"/>
  <c r="G60" i="1" l="1"/>
  <c r="F60" i="1"/>
  <c r="A61" i="1"/>
  <c r="G61" i="1" l="1"/>
  <c r="F61" i="1"/>
  <c r="A62" i="1"/>
  <c r="G62" i="1" l="1"/>
  <c r="F62" i="1"/>
  <c r="A63" i="1"/>
  <c r="G63" i="1" l="1"/>
  <c r="F63" i="1"/>
  <c r="A64" i="1"/>
  <c r="G64" i="1" s="1"/>
  <c r="F64" i="1" l="1"/>
  <c r="A65" i="1"/>
  <c r="G65" i="1" s="1"/>
  <c r="F65" i="1" l="1"/>
  <c r="A66" i="1"/>
  <c r="G66" i="1" s="1"/>
  <c r="F66" i="1" l="1"/>
  <c r="A67" i="1"/>
  <c r="G67" i="1" s="1"/>
  <c r="F67" i="1" l="1"/>
  <c r="A68" i="1"/>
  <c r="G68" i="1" s="1"/>
  <c r="F68" i="1" l="1"/>
  <c r="A69" i="1"/>
  <c r="G69" i="1" s="1"/>
  <c r="F69" i="1" l="1"/>
  <c r="A70" i="1"/>
  <c r="G70" i="1" s="1"/>
  <c r="F70" i="1" l="1"/>
  <c r="A71" i="1"/>
  <c r="G71" i="1" s="1"/>
  <c r="F71" i="1" l="1"/>
  <c r="A72" i="1"/>
  <c r="G72" i="1" s="1"/>
  <c r="F72" i="1" l="1"/>
  <c r="A73" i="1"/>
  <c r="G73" i="1" s="1"/>
  <c r="F73" i="1" l="1"/>
  <c r="A74" i="1"/>
  <c r="G74" i="1" s="1"/>
  <c r="F74" i="1" l="1"/>
  <c r="A75" i="1"/>
  <c r="G75" i="1" s="1"/>
  <c r="F75" i="1" l="1"/>
  <c r="A76" i="1"/>
  <c r="G76" i="1" s="1"/>
  <c r="F76" i="1" l="1"/>
  <c r="A77" i="1"/>
  <c r="G77" i="1" s="1"/>
  <c r="F77" i="1" l="1"/>
  <c r="A78" i="1"/>
  <c r="G78" i="1" s="1"/>
  <c r="F78" i="1" l="1"/>
  <c r="A79" i="1"/>
  <c r="G79" i="1" l="1"/>
  <c r="F79" i="1"/>
  <c r="A80" i="1"/>
  <c r="G80" i="1" l="1"/>
  <c r="F80" i="1"/>
  <c r="A81" i="1"/>
  <c r="G81" i="1" l="1"/>
  <c r="F81" i="1"/>
  <c r="A82" i="1"/>
  <c r="G82" i="1" l="1"/>
  <c r="F82" i="1"/>
  <c r="A83" i="1"/>
  <c r="G83" i="1" l="1"/>
  <c r="H77" i="3"/>
  <c r="F83" i="1"/>
  <c r="A84" i="1"/>
  <c r="G84" i="1" l="1"/>
  <c r="F84" i="1"/>
  <c r="A85" i="1"/>
  <c r="G85" i="1" l="1"/>
  <c r="F85" i="1"/>
  <c r="A86" i="1"/>
  <c r="G86" i="1" l="1"/>
  <c r="F86" i="1"/>
  <c r="A87" i="1"/>
  <c r="G87" i="1" l="1"/>
  <c r="F87" i="1"/>
  <c r="A88" i="1"/>
  <c r="G88" i="1" l="1"/>
  <c r="F88" i="1"/>
  <c r="A89" i="1"/>
  <c r="G89" i="1" l="1"/>
  <c r="F89" i="1"/>
  <c r="A90" i="1"/>
  <c r="G90" i="1" l="1"/>
  <c r="F90" i="1"/>
  <c r="A91" i="1"/>
  <c r="G91" i="1" l="1"/>
  <c r="F91" i="1"/>
  <c r="A92" i="1"/>
  <c r="G92" i="1" l="1"/>
  <c r="F92" i="1"/>
  <c r="A93" i="1"/>
  <c r="G93" i="1" l="1"/>
  <c r="F93" i="1"/>
  <c r="A94" i="1"/>
  <c r="G94" i="1" l="1"/>
  <c r="F94" i="1"/>
  <c r="A95" i="1"/>
  <c r="G95" i="1" l="1"/>
  <c r="F95" i="1"/>
  <c r="A96" i="1"/>
  <c r="G96" i="1" l="1"/>
  <c r="F96" i="1"/>
  <c r="A97" i="1"/>
  <c r="G97" i="1" l="1"/>
  <c r="F97" i="1"/>
  <c r="A98" i="1"/>
  <c r="G98" i="1" l="1"/>
  <c r="F98" i="1"/>
  <c r="A99" i="1"/>
  <c r="G99" i="1" l="1"/>
  <c r="F99" i="1"/>
  <c r="A100" i="1"/>
  <c r="G100" i="1" l="1"/>
  <c r="F100" i="1"/>
  <c r="A101" i="1"/>
  <c r="G101" i="1" l="1"/>
  <c r="F101" i="1"/>
  <c r="A102" i="1"/>
  <c r="G102" i="1" l="1"/>
  <c r="F102" i="1"/>
  <c r="A103" i="1"/>
  <c r="F103" i="1" l="1"/>
  <c r="G103" i="1"/>
  <c r="A104" i="1"/>
  <c r="G104" i="1" l="1"/>
  <c r="F104" i="1"/>
  <c r="A105" i="1"/>
  <c r="G105" i="1" l="1"/>
  <c r="F105" i="1"/>
  <c r="A106" i="1"/>
  <c r="G106" i="1" l="1"/>
  <c r="F106" i="1"/>
  <c r="A107" i="1"/>
  <c r="F107" i="1" l="1"/>
  <c r="A108" i="1"/>
  <c r="G108" i="1" l="1"/>
  <c r="F108" i="1"/>
  <c r="A109" i="1"/>
  <c r="H119" i="3" l="1"/>
  <c r="A110" i="1"/>
  <c r="G110" i="1" l="1"/>
  <c r="F110" i="1"/>
  <c r="A111" i="1"/>
  <c r="G111" i="1" l="1"/>
  <c r="F111" i="1"/>
  <c r="A112" i="1"/>
  <c r="G112" i="1" l="1"/>
  <c r="F112" i="1"/>
  <c r="A113" i="1"/>
  <c r="G113" i="1" l="1"/>
  <c r="F113" i="1"/>
  <c r="A114" i="1"/>
  <c r="G114" i="1" l="1"/>
  <c r="F114" i="1"/>
  <c r="A115" i="1"/>
  <c r="G115" i="1" l="1"/>
  <c r="F115" i="1"/>
  <c r="A116" i="1"/>
  <c r="G116" i="1" l="1"/>
  <c r="F116" i="1"/>
  <c r="A117" i="1"/>
  <c r="G117" i="1" l="1"/>
  <c r="F117" i="1"/>
  <c r="A118" i="1"/>
  <c r="G118" i="1" l="1"/>
  <c r="F118" i="1"/>
  <c r="A119" i="1"/>
  <c r="G119" i="1" l="1"/>
  <c r="F119" i="1"/>
  <c r="A120" i="1"/>
  <c r="G120" i="1" l="1"/>
  <c r="F120" i="1"/>
  <c r="A121" i="1"/>
  <c r="G121" i="1" l="1"/>
  <c r="F121" i="1"/>
  <c r="A122" i="1"/>
  <c r="G122" i="1" l="1"/>
  <c r="F122" i="1"/>
  <c r="A123" i="1"/>
  <c r="G123" i="1" l="1"/>
  <c r="F123" i="1"/>
  <c r="A124" i="1"/>
  <c r="G124" i="1" l="1"/>
  <c r="F124" i="1"/>
  <c r="A125" i="1"/>
  <c r="G125" i="1" l="1"/>
  <c r="F125" i="1"/>
  <c r="A126" i="1"/>
  <c r="G126" i="1" l="1"/>
  <c r="F126" i="1"/>
  <c r="A127" i="1"/>
  <c r="G127" i="1" l="1"/>
  <c r="F127" i="1"/>
  <c r="A128" i="1"/>
  <c r="G128" i="1" l="1"/>
  <c r="F128" i="1"/>
  <c r="A129" i="1"/>
  <c r="G129" i="1" l="1"/>
  <c r="F129" i="1"/>
  <c r="A130" i="1"/>
  <c r="G130" i="1" l="1"/>
  <c r="F130" i="1"/>
  <c r="A131" i="1"/>
  <c r="G131" i="1" l="1"/>
  <c r="F131" i="1"/>
  <c r="A132" i="1"/>
  <c r="G132" i="1" l="1"/>
  <c r="F132" i="1"/>
  <c r="A133" i="1"/>
  <c r="G133" i="1" l="1"/>
  <c r="F133" i="1"/>
  <c r="A134" i="1"/>
  <c r="G134" i="1" l="1"/>
  <c r="F134" i="1"/>
  <c r="A135" i="1"/>
  <c r="G135" i="1" l="1"/>
  <c r="F135" i="1"/>
  <c r="A136" i="1"/>
  <c r="G136" i="1" l="1"/>
  <c r="F136" i="1"/>
  <c r="A137" i="1"/>
  <c r="G137" i="1" l="1"/>
  <c r="F137" i="1"/>
  <c r="A138" i="1"/>
  <c r="G138" i="1" l="1"/>
  <c r="F138" i="1"/>
  <c r="A139" i="1"/>
  <c r="G139" i="1" l="1"/>
  <c r="F139" i="1"/>
  <c r="A140" i="1"/>
  <c r="G140" i="1" l="1"/>
  <c r="F140" i="1"/>
  <c r="A141" i="1"/>
  <c r="G141" i="1" l="1"/>
  <c r="F141" i="1"/>
  <c r="A142" i="1"/>
  <c r="G142" i="1" l="1"/>
  <c r="F142" i="1"/>
  <c r="A143" i="1"/>
  <c r="G143" i="1" l="1"/>
  <c r="F143" i="1"/>
  <c r="A144" i="1"/>
  <c r="G144" i="1" l="1"/>
  <c r="F144" i="1"/>
  <c r="A145" i="1"/>
  <c r="G145" i="1" l="1"/>
  <c r="F145" i="1"/>
  <c r="A146" i="1"/>
  <c r="G146" i="1" l="1"/>
  <c r="F146" i="1"/>
  <c r="A147" i="1"/>
  <c r="G147" i="1" l="1"/>
  <c r="F147" i="1"/>
  <c r="A148" i="1"/>
  <c r="G148" i="1" l="1"/>
  <c r="F148" i="1"/>
  <c r="A149" i="1"/>
  <c r="G149" i="1" l="1"/>
  <c r="F149" i="1"/>
  <c r="A150" i="1"/>
  <c r="G150" i="1" l="1"/>
  <c r="F150" i="1"/>
  <c r="A151" i="1"/>
  <c r="G151" i="1" l="1"/>
  <c r="F151" i="1"/>
  <c r="A152" i="1"/>
  <c r="G152" i="1" l="1"/>
  <c r="F152" i="1"/>
  <c r="A153" i="1"/>
  <c r="G153" i="1" l="1"/>
  <c r="F153" i="1"/>
  <c r="A154" i="1"/>
  <c r="G154" i="1" l="1"/>
  <c r="F154" i="1"/>
  <c r="A155" i="1"/>
  <c r="G155" i="1" l="1"/>
  <c r="F155" i="1"/>
  <c r="A156" i="1"/>
  <c r="G156" i="1" l="1"/>
  <c r="F156" i="1"/>
  <c r="A157" i="1"/>
  <c r="G157" i="1" l="1"/>
  <c r="F157" i="1"/>
  <c r="A158" i="1"/>
  <c r="G158" i="1" l="1"/>
  <c r="F158" i="1"/>
  <c r="A159" i="1"/>
  <c r="G159" i="1" l="1"/>
  <c r="F159" i="1"/>
  <c r="A160" i="1"/>
  <c r="G160" i="1" l="1"/>
  <c r="F160" i="1"/>
  <c r="A161" i="1"/>
  <c r="G161" i="1" l="1"/>
  <c r="F161" i="1"/>
  <c r="A162" i="1"/>
  <c r="G162" i="1" l="1"/>
  <c r="F162" i="1"/>
  <c r="A163" i="1"/>
  <c r="G163" i="1" l="1"/>
  <c r="F163" i="1"/>
  <c r="A164" i="1"/>
  <c r="G164" i="1" l="1"/>
  <c r="F164" i="1"/>
  <c r="A165" i="1"/>
  <c r="G165" i="1" l="1"/>
  <c r="F165" i="1"/>
  <c r="A166" i="1"/>
  <c r="G166" i="1" l="1"/>
  <c r="F166" i="1"/>
  <c r="A167" i="1"/>
  <c r="G167" i="1" l="1"/>
  <c r="F167" i="1"/>
  <c r="A168" i="1"/>
  <c r="G168" i="1" l="1"/>
  <c r="F168" i="1"/>
  <c r="A169" i="1"/>
  <c r="G169" i="1" l="1"/>
  <c r="F169" i="1"/>
  <c r="A170" i="1"/>
  <c r="G170" i="1" l="1"/>
  <c r="F170" i="1"/>
  <c r="A171" i="1"/>
  <c r="G171" i="1" l="1"/>
  <c r="F171" i="1"/>
  <c r="A172" i="1"/>
  <c r="G172" i="1" l="1"/>
  <c r="F172" i="1"/>
  <c r="A173" i="1"/>
  <c r="G173" i="1" l="1"/>
  <c r="F173" i="1"/>
  <c r="A174" i="1"/>
  <c r="G174" i="1" l="1"/>
  <c r="F174" i="1"/>
  <c r="A175" i="1"/>
  <c r="G175" i="1" l="1"/>
  <c r="F175" i="1"/>
  <c r="A176" i="1"/>
  <c r="G176" i="1" l="1"/>
  <c r="F176" i="1"/>
  <c r="A177" i="1"/>
  <c r="G177" i="1" l="1"/>
  <c r="F177" i="1"/>
  <c r="A178" i="1"/>
  <c r="G178" i="1" l="1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35" i="3"/>
  <c r="H134" i="3"/>
  <c r="H133" i="3"/>
  <c r="H132" i="3"/>
  <c r="H131" i="3"/>
  <c r="H130" i="3"/>
  <c r="H129" i="3"/>
  <c r="H128" i="3"/>
  <c r="H127" i="3"/>
  <c r="H126" i="3"/>
  <c r="H125" i="3"/>
  <c r="F178" i="1"/>
  <c r="H94" i="3" l="1"/>
  <c r="H117" i="3"/>
  <c r="H91" i="3"/>
  <c r="H40" i="3"/>
  <c r="H25" i="3"/>
  <c r="H110" i="3"/>
  <c r="H112" i="3"/>
  <c r="H32" i="3"/>
  <c r="H12" i="3"/>
  <c r="H44" i="3"/>
  <c r="H22" i="3"/>
  <c r="H20" i="3"/>
  <c r="H30" i="3"/>
  <c r="H56" i="3"/>
  <c r="H100" i="3"/>
  <c r="H101" i="3"/>
  <c r="H47" i="3"/>
  <c r="H62" i="3"/>
  <c r="H83" i="3"/>
  <c r="H98" i="3"/>
  <c r="H108" i="3"/>
  <c r="H24" i="3"/>
  <c r="H67" i="3"/>
  <c r="H123" i="3"/>
  <c r="H14" i="3"/>
  <c r="H9" i="3"/>
  <c r="H96" i="3"/>
  <c r="H27" i="3"/>
  <c r="H72" i="3"/>
  <c r="H71" i="3"/>
  <c r="H82" i="3"/>
  <c r="H53" i="3"/>
  <c r="H69" i="3"/>
  <c r="H29" i="3"/>
  <c r="H88" i="3"/>
  <c r="H42" i="3"/>
  <c r="H99" i="3"/>
  <c r="H122" i="3"/>
  <c r="H26" i="3"/>
  <c r="H19" i="3"/>
  <c r="H73" i="3"/>
  <c r="H109" i="3"/>
  <c r="H51" i="3"/>
  <c r="H2" i="3"/>
  <c r="H33" i="3"/>
  <c r="H7" i="3"/>
  <c r="H57" i="3"/>
  <c r="H49" i="3"/>
  <c r="H121" i="3"/>
  <c r="H106" i="3"/>
  <c r="H76" i="3"/>
  <c r="H15" i="3"/>
  <c r="H78" i="3"/>
  <c r="H8" i="3"/>
  <c r="H60" i="3"/>
  <c r="H95" i="3"/>
  <c r="H58" i="3"/>
  <c r="H104" i="3"/>
  <c r="H3" i="3"/>
  <c r="H64" i="3"/>
  <c r="H37" i="3"/>
  <c r="H90" i="3"/>
  <c r="H36" i="3"/>
  <c r="H45" i="3"/>
  <c r="H61" i="3"/>
  <c r="H28" i="3"/>
  <c r="H13" i="3"/>
  <c r="H114" i="3"/>
  <c r="H59" i="3"/>
  <c r="H46" i="3"/>
  <c r="H50" i="3"/>
  <c r="H103" i="3"/>
  <c r="H68" i="3"/>
  <c r="H5" i="3"/>
  <c r="H75" i="3"/>
  <c r="H86" i="3"/>
  <c r="H54" i="3"/>
  <c r="H6" i="3"/>
  <c r="H115" i="3"/>
  <c r="H31" i="3"/>
  <c r="H66" i="3"/>
  <c r="H89" i="3"/>
  <c r="H55" i="3"/>
  <c r="H4" i="3"/>
  <c r="H17" i="3"/>
  <c r="H63" i="3"/>
  <c r="H84" i="3"/>
  <c r="H70" i="3"/>
  <c r="H118" i="3"/>
  <c r="H41" i="3"/>
  <c r="H35" i="3"/>
  <c r="H43" i="3"/>
  <c r="H105" i="3"/>
  <c r="H92" i="3"/>
  <c r="H48" i="3"/>
  <c r="H87" i="3"/>
  <c r="H39" i="3"/>
  <c r="H107" i="3"/>
  <c r="H124" i="3"/>
  <c r="H18" i="3"/>
  <c r="H120" i="3"/>
  <c r="H79" i="3"/>
  <c r="H52" i="3"/>
  <c r="H74" i="3"/>
  <c r="H113" i="3"/>
  <c r="H111" i="3"/>
  <c r="H10" i="3"/>
  <c r="H97" i="3"/>
  <c r="H116" i="3"/>
  <c r="H21" i="3"/>
  <c r="H65" i="3"/>
  <c r="H102" i="3"/>
  <c r="H93" i="3"/>
  <c r="H34" i="3"/>
  <c r="H38" i="3"/>
  <c r="H81" i="3"/>
  <c r="H11" i="3"/>
  <c r="H85" i="3"/>
  <c r="H23" i="3"/>
  <c r="H16" i="3"/>
  <c r="H80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<sst xmlns="http://schemas.openxmlformats.org/spreadsheetml/2006/main" count="1864" uniqueCount="433">
  <si>
    <t>#</t>
  </si>
  <si>
    <t>dataset_id</t>
  </si>
  <si>
    <t>productType</t>
  </si>
  <si>
    <t>Resolution</t>
  </si>
  <si>
    <t>Year</t>
  </si>
  <si>
    <t>CLMS / datasetIdentifier</t>
  </si>
  <si>
    <t>Proposed new WEkEO collection ID</t>
  </si>
  <si>
    <t>Parallel maintenance/hard switch</t>
  </si>
  <si>
    <t>EO:CRYO:DAT:HRSI:FSC</t>
  </si>
  <si>
    <t>-</t>
  </si>
  <si>
    <t>Parallel maintenance on CLMS archive</t>
  </si>
  <si>
    <t>EO:CRYO:DAT:HRSI:GFSC</t>
  </si>
  <si>
    <t>EO:CRYO:DAT:HRSI:PSA</t>
  </si>
  <si>
    <t>EO:CRYO:DAT:HRSI:PSALAEA</t>
  </si>
  <si>
    <t>EO:CRYO:DAT:HRSI:RLIE</t>
  </si>
  <si>
    <t>EO:CRYO:DAT:HRSI:SWS</t>
  </si>
  <si>
    <t>EO:CRYO:DAT:HRSI:WDS</t>
  </si>
  <si>
    <t>EO:CRYO:DAT:HRSI_ARLIE</t>
  </si>
  <si>
    <t>EO:EEA:DAT:CLC-PLUS</t>
  </si>
  <si>
    <t>Raster Layer</t>
  </si>
  <si>
    <t>10m</t>
  </si>
  <si>
    <t>Parallel maintenance</t>
  </si>
  <si>
    <t>Hard switch</t>
  </si>
  <si>
    <t>Confidence Layer</t>
  </si>
  <si>
    <t>Data score Layer</t>
  </si>
  <si>
    <t>Post-processing Layer</t>
  </si>
  <si>
    <t>EO:EEA:DAT:CLMS_HRVPP_ST</t>
  </si>
  <si>
    <t>PPI</t>
  </si>
  <si>
    <t>2017-2024, S1&amp;S2</t>
  </si>
  <si>
    <t>QFLAG</t>
  </si>
  <si>
    <t>EO:EEA:DAT:CLMS_HRVPP_ST-LAEA</t>
  </si>
  <si>
    <t>EO:EEA:DAT:CLMS_HRVPP_VPP</t>
  </si>
  <si>
    <t>MINV</t>
  </si>
  <si>
    <t>MAXD</t>
  </si>
  <si>
    <t>LENGTH</t>
  </si>
  <si>
    <t>SOSD</t>
  </si>
  <si>
    <t>EOSV</t>
  </si>
  <si>
    <t>TPROD</t>
  </si>
  <si>
    <t>MAXV</t>
  </si>
  <si>
    <t>AMPL</t>
  </si>
  <si>
    <t>SOSV</t>
  </si>
  <si>
    <t>LSLOPE</t>
  </si>
  <si>
    <t>EOSD</t>
  </si>
  <si>
    <t>RSLOPE</t>
  </si>
  <si>
    <t>SPROD</t>
  </si>
  <si>
    <t>EO:EEA:DAT:CLMS_HRVPP_VPP-LAEA</t>
  </si>
  <si>
    <t>EO:EEA:DAT:COASTALZONES</t>
  </si>
  <si>
    <t>Coastal Zones Change 2012 - 2018</t>
  </si>
  <si>
    <t>Coastal Zones 2012</t>
  </si>
  <si>
    <t>Coastal Zones 2018</t>
  </si>
  <si>
    <t>EO:EEA:DAT:CORINE</t>
  </si>
  <si>
    <t>Corine Land Change 1990 2000</t>
  </si>
  <si>
    <t>Corine Land Cover 1990</t>
  </si>
  <si>
    <t>Corine Land Change 2000 2006</t>
  </si>
  <si>
    <t>Corine Land Cover 2000</t>
  </si>
  <si>
    <t>Corine Land Change 2006 2012</t>
  </si>
  <si>
    <t>Corine Land Cover 2006</t>
  </si>
  <si>
    <t>Corine Land Change 2012 2018</t>
  </si>
  <si>
    <t>Corine Land Cover 2012</t>
  </si>
  <si>
    <t>Corine Land Cover 2018</t>
  </si>
  <si>
    <t>EO:EEA:DAT:EU-HYDRO</t>
  </si>
  <si>
    <t>River Network Database</t>
  </si>
  <si>
    <t>Coastline</t>
  </si>
  <si>
    <t>EO:EEA:DAT:N2K</t>
  </si>
  <si>
    <t>N2K Change 2012-2018</t>
  </si>
  <si>
    <t>N2K Change 2006-2012</t>
  </si>
  <si>
    <t>N2K 2018</t>
  </si>
  <si>
    <t>N2K 2012</t>
  </si>
  <si>
    <t>N2K 2006</t>
  </si>
  <si>
    <t>EO:EEA:DAT:RIPARIANZONES</t>
  </si>
  <si>
    <t>RZ_change</t>
  </si>
  <si>
    <t>RZ 2018</t>
  </si>
  <si>
    <t>RZ 2012</t>
  </si>
  <si>
    <t>EO:EEA:DAT:URBAN-ATLAS</t>
  </si>
  <si>
    <t>Building Height 2012</t>
  </si>
  <si>
    <t>Street Tree Layer</t>
  </si>
  <si>
    <t>Street Tree Layer 2012</t>
  </si>
  <si>
    <t>Street Tree Layer 2018</t>
  </si>
  <si>
    <t>Urban Atlas 2006</t>
  </si>
  <si>
    <t>Urban Atlas 2012</t>
  </si>
  <si>
    <t>Urban Atlas 2018</t>
  </si>
  <si>
    <t>Urban Atlas Change 2006 2012</t>
  </si>
  <si>
    <t>Urban Atlas Change 2012 2018</t>
  </si>
  <si>
    <t>EO:EEA:DAT:HRL:CRL</t>
  </si>
  <si>
    <t>Bare Soil After</t>
  </si>
  <si>
    <t>2017, 2018, 2019, 2020, 2021, 2022, 2023</t>
  </si>
  <si>
    <t>Bare Soil After Confidence Layer</t>
  </si>
  <si>
    <t>Bare Soil Before</t>
  </si>
  <si>
    <t>Bare Soil Before Confidence Layer</t>
  </si>
  <si>
    <t>Crop Types</t>
  </si>
  <si>
    <t>Crop Types Confidence Layer</t>
  </si>
  <si>
    <t>Cropping Seasons Types over 3 years</t>
  </si>
  <si>
    <t>2017-2019, 2018-2020, 2019-2021, 2020-2022,2021-2023</t>
  </si>
  <si>
    <t>Cropping Seasons Yearly</t>
  </si>
  <si>
    <t>Fallow Land Duration</t>
  </si>
  <si>
    <t>2017-2021, 2018-2022, 2019-2023</t>
  </si>
  <si>
    <t>Fallow Land Duration Confidence Layer</t>
  </si>
  <si>
    <t>Fallow Land Presence</t>
  </si>
  <si>
    <t>Fallow Land Presence Confidence Layer</t>
  </si>
  <si>
    <t>Main Crop Duration</t>
  </si>
  <si>
    <t>Main Crop Duration Confidence Layer</t>
  </si>
  <si>
    <t>Main Crop Emergence</t>
  </si>
  <si>
    <t>Main Crop Emergence Confidence Layer</t>
  </si>
  <si>
    <t>Main Crop Harvest</t>
  </si>
  <si>
    <t>Main Crop Harvest Confidence Layer</t>
  </si>
  <si>
    <t>Secondary Crops Duration</t>
  </si>
  <si>
    <t>Secondary Crops Duration Confidence Layer</t>
  </si>
  <si>
    <t>Secondary Crops Emergence</t>
  </si>
  <si>
    <t>Secondary Crops Type</t>
  </si>
  <si>
    <t>EO:EEA:DAT:HRL:GRA</t>
  </si>
  <si>
    <t>Grassland</t>
  </si>
  <si>
    <t>100m</t>
  </si>
  <si>
    <t>20m</t>
  </si>
  <si>
    <t>Grassland Change</t>
  </si>
  <si>
    <t>2015-2018</t>
  </si>
  <si>
    <t>2018-2021</t>
  </si>
  <si>
    <t>Grassland Change Confidence Layer</t>
  </si>
  <si>
    <t>EO:EEA:CDSE:GRA</t>
  </si>
  <si>
    <t>Grassland Confidence Layer</t>
  </si>
  <si>
    <t>Grassland Mowing Dates (4 Dates per Year)</t>
  </si>
  <si>
    <t>CLMS / clms_vlcc_grassland-mowing-dates_europe_10m_yearly_v1</t>
  </si>
  <si>
    <t>EO:EEA:CDSE:GRAM</t>
  </si>
  <si>
    <t>Grassland Mowing Events</t>
  </si>
  <si>
    <t>Grassland Mowing Events Confidence Layer</t>
  </si>
  <si>
    <t>Herbaceous Cover</t>
  </si>
  <si>
    <t>Ploughing Indicator</t>
  </si>
  <si>
    <t>EO:EEA:DAT:HRL:IMP</t>
  </si>
  <si>
    <t>Imperviousness Change</t>
  </si>
  <si>
    <t>2012-2015, 2009-2012, 2006-2012, 2006-2009</t>
  </si>
  <si>
    <t>Imperviousness Density</t>
  </si>
  <si>
    <t>2006, 2009, 2012, 2015</t>
  </si>
  <si>
    <t>Impervious Built-up</t>
  </si>
  <si>
    <t>Impervious Built-up Change</t>
  </si>
  <si>
    <t>Impervious Built-up Change Support layer</t>
  </si>
  <si>
    <t>Confidence layer for Impervious Built-up</t>
  </si>
  <si>
    <t>Imperviousness Change Classified</t>
  </si>
  <si>
    <t>Imperviousness Change Classified Support layer</t>
  </si>
  <si>
    <t>Imperviousness Change Support layer</t>
  </si>
  <si>
    <t>Confidence layer for Imperviousness Density</t>
  </si>
  <si>
    <t>Share of Built-up</t>
  </si>
  <si>
    <t>Share of Built-up Change</t>
  </si>
  <si>
    <t>Share of Built-up Change Support  layer</t>
  </si>
  <si>
    <t>Share of Built-up Change Classified</t>
  </si>
  <si>
    <t>Share of Built-up Change Classified Support  layer</t>
  </si>
  <si>
    <t>EO:EEA:DAT:HRL:SLF</t>
  </si>
  <si>
    <t>Small Woody Features</t>
  </si>
  <si>
    <t>vector</t>
  </si>
  <si>
    <t>5m</t>
  </si>
  <si>
    <t>Woody Vegetation Layer</t>
  </si>
  <si>
    <t>Forest Mask</t>
  </si>
  <si>
    <t>Crop Mask</t>
  </si>
  <si>
    <t>EO:EEA:DAT:HRL:TCF</t>
  </si>
  <si>
    <t>Broadleaved Cover Density</t>
  </si>
  <si>
    <t>2018, 2019, 2020, 2021, 2022, 2023</t>
  </si>
  <si>
    <t>Coniferous Cover Density</t>
  </si>
  <si>
    <t>Dominant Leaf Type</t>
  </si>
  <si>
    <t>2012, 2015</t>
  </si>
  <si>
    <t>Dominant Leaf Type Confidence Layer</t>
  </si>
  <si>
    <t>Dominant Leaf Type Change</t>
  </si>
  <si>
    <t>Forest Additional Support Layer</t>
  </si>
  <si>
    <t>2018, 2021</t>
  </si>
  <si>
    <t>Forest Type</t>
  </si>
  <si>
    <t>Tree Cover Change Mask</t>
  </si>
  <si>
    <t>2015-2018, 2012-2015</t>
  </si>
  <si>
    <t>Tree Cover Density</t>
  </si>
  <si>
    <t>Tree Cover Density Confidence Layer</t>
  </si>
  <si>
    <t>Tree Cover Presence Change</t>
  </si>
  <si>
    <t>Tree Cover Presence Change Confidence Layer</t>
  </si>
  <si>
    <t>EO:EEA:DAT:HRL:WAW</t>
  </si>
  <si>
    <t>Water and wetness</t>
  </si>
  <si>
    <t>2015, 2018</t>
  </si>
  <si>
    <t>current WEkEO dataset</t>
  </si>
  <si>
    <t>Entity</t>
  </si>
  <si>
    <t>collection</t>
  </si>
  <si>
    <t>component</t>
  </si>
  <si>
    <t>datasetIdentifier</t>
  </si>
  <si>
    <t>currentWEkEO ID</t>
  </si>
  <si>
    <t>Proposed new WEkEO Collection ID</t>
  </si>
  <si>
    <t>Comment</t>
  </si>
  <si>
    <t>JRC</t>
  </si>
  <si>
    <t>CLMS</t>
  </si>
  <si>
    <t>bio-geophysical</t>
  </si>
  <si>
    <t>burnt_area</t>
  </si>
  <si>
    <t>ba_global_300m_daily_v3</t>
  </si>
  <si>
    <t>EO:CLMS:CDSE:BA</t>
  </si>
  <si>
    <t>2023, 2024, 2025</t>
  </si>
  <si>
    <t>ba_global_300m_daily_v4</t>
  </si>
  <si>
    <t>2024, 2025, 2026</t>
  </si>
  <si>
    <t>ba_global_300m_monthly_v3</t>
  </si>
  <si>
    <t>2019, 2020, 2021, 2022, 2023, 2024, 2025</t>
  </si>
  <si>
    <t>ba_global_300m_monthly_v4</t>
  </si>
  <si>
    <t>2018, 2019, 2020, 2021, 2022, 2023, 2024, 2025</t>
  </si>
  <si>
    <t>dry-gross_dry_matter_productivity</t>
  </si>
  <si>
    <t>dmp_global_1km_10daily_v2</t>
  </si>
  <si>
    <t>EO:CLMS:CDSE:DGDMP</t>
  </si>
  <si>
    <t>1999, 2000, 2001, 2002, 2003, 2004, 2005, 2006, 2007, 2008, 2009, 2010, 2011, 2012, 2013, 2014, 2015, 2016, 2017, 2018, 2019, 2020</t>
  </si>
  <si>
    <t>dmp_global_300m_10daily_v1</t>
  </si>
  <si>
    <t>2014, 2015, 2016, 2017, 2018, 2019, 2020, 2021, 2022, 2023, 2024, 2025, 2026</t>
  </si>
  <si>
    <t>dmp_global_300m_10daily_v2</t>
  </si>
  <si>
    <t>2013, 2014, 2015, 2016, 2017, 2018, 2019, 2020, 2021, 2022, 2023, 2024, 2025, 2026</t>
  </si>
  <si>
    <t>gdmp_global_1km_10daily_v2</t>
  </si>
  <si>
    <t>gdmp_global_300m_10daily_v1</t>
  </si>
  <si>
    <t>gdmp_global_300m_10daily_v2</t>
  </si>
  <si>
    <t>evapotranspiration</t>
  </si>
  <si>
    <t>eta_global_300m_10daily_v1</t>
  </si>
  <si>
    <t>EO:CLMS:CDSE:EVAP</t>
  </si>
  <si>
    <t>2025, 2026</t>
  </si>
  <si>
    <t>hf_global_300m_daily_v1</t>
  </si>
  <si>
    <t>lake_surface_water_temperature</t>
  </si>
  <si>
    <t>lswt-nrt_global_1km_10daily_v1</t>
  </si>
  <si>
    <t>EO:CLMS:CDSE:LSWT</t>
  </si>
  <si>
    <t>2016, 2017, 2018, 2019, 2020, 2021, 2022, 2023, 2024, 2025, 2026</t>
  </si>
  <si>
    <t>lswt-offline_global_1km_10daily_v1</t>
  </si>
  <si>
    <t>2002, 2003, 2004, 2005, 2006, 2007, 2008, 2009, 2010, 2011, 2012</t>
  </si>
  <si>
    <t>lake_water_quality</t>
  </si>
  <si>
    <t>lwq-nrt_global_100m_10daily_v1</t>
  </si>
  <si>
    <t>EO:CLMS:CDSE:LWQ</t>
  </si>
  <si>
    <t>2018, 2019, 2020, 2021, 2022, 2023, 2024</t>
  </si>
  <si>
    <t>lwq-nrt_global_100m_10daily_v2</t>
  </si>
  <si>
    <t>lwq-nrt_global_300m_10daily_v1</t>
  </si>
  <si>
    <t>2016, 2017, 2018, 2019, 2020, 2021, 2022, 2023, 2024</t>
  </si>
  <si>
    <t>lwq-nrt_global_300m_10daily_v2</t>
  </si>
  <si>
    <t>lwq-reproc_global_300m_10daily_v1</t>
  </si>
  <si>
    <t>land_surface_temperature</t>
  </si>
  <si>
    <t>lst-daily-cycle_global_5km_10daily_v1</t>
  </si>
  <si>
    <t>EO:CLMS:CDSE:LSF</t>
  </si>
  <si>
    <t>2017, 2018, 2019, 2020, 2021</t>
  </si>
  <si>
    <t>lst-daily-cycle_global_5km_10daily_v2</t>
  </si>
  <si>
    <t>2021, 2022, 2023, 2024, 2025, 2026</t>
  </si>
  <si>
    <t>lst-tci_global_5km_10daily_v1</t>
  </si>
  <si>
    <t>lst-tci_global_5km_10daily_v2</t>
  </si>
  <si>
    <t>lst_global_5km_hourly_v1</t>
  </si>
  <si>
    <t>2010, 2011, 2012, 2013, 2014, 2015, 2016, 2017, 2018, 2019, 2020, 2021</t>
  </si>
  <si>
    <t>lst_global_5km_hourly_v2</t>
  </si>
  <si>
    <t>net-gross_primary_production</t>
  </si>
  <si>
    <t>gpp_global_300m_10daily_v1</t>
  </si>
  <si>
    <t>EO:CLMS:CDSE:NGPP</t>
  </si>
  <si>
    <t>2023, 2024, 2025, 2026</t>
  </si>
  <si>
    <t>gpp_global_300m_10daily_v2</t>
  </si>
  <si>
    <t>npp_global_300m_10daily_v1</t>
  </si>
  <si>
    <t>npp_global_300m_10daily_v2</t>
  </si>
  <si>
    <t>river_and_lake_ice_extent</t>
  </si>
  <si>
    <t>lie_baltic_250m_daily_v1</t>
  </si>
  <si>
    <t>EO:CLMS:CDSE:RLIE</t>
  </si>
  <si>
    <t>2017, 2018, 2019, 2020, 2021, 2022, 2023, 2024</t>
  </si>
  <si>
    <t>lie_europe_250m_daily_v2</t>
  </si>
  <si>
    <t>lie_global_500m_daily_v2</t>
  </si>
  <si>
    <t>lie_northernhemisphere_500m_daily_v1</t>
  </si>
  <si>
    <t>river_and_lake_water_level</t>
  </si>
  <si>
    <t>wl-lakes_global_vector_daily_v2</t>
  </si>
  <si>
    <t>wl-rivers_global_vector_daily_v2</t>
  </si>
  <si>
    <t>2019, 2020, 2021, 2022, 2023, 2024, 2025, 2026</t>
  </si>
  <si>
    <t>snow_cover_extent</t>
  </si>
  <si>
    <t>sce_europe_500m_daily_v1</t>
  </si>
  <si>
    <t>EO:CLMS:CDSE:SCE</t>
  </si>
  <si>
    <t>2017, 2018, 2019, 2020, 2021, 2022, 2023, 2024, 2025, 2026</t>
  </si>
  <si>
    <t>sce_global_1km_daily_v1</t>
  </si>
  <si>
    <t>sce_northernhemisphere_1km_daily_v1</t>
  </si>
  <si>
    <t>2018, 2019, 2020, 2021, 2022, 2023, 2024, 2025, 2026</t>
  </si>
  <si>
    <t>snow_water_equivalent</t>
  </si>
  <si>
    <t>swe_northernhemisphere_5km_daily_v1</t>
  </si>
  <si>
    <t>EO:CLMS:CDSE:SWE</t>
  </si>
  <si>
    <t>2006, 2007, 2008, 2009, 2010, 2011, 2012, 2013, 2014, 2015, 2016, 2017, 2018, 2019, 2020, 2021, 2022, 2023, 2024</t>
  </si>
  <si>
    <t>swe_northernhemisphere_5km_daily_v2</t>
  </si>
  <si>
    <t>soil_water_index</t>
  </si>
  <si>
    <t>swi-static_global_12.5km_daily_v3</t>
  </si>
  <si>
    <t>EO:CLMS:CDSE:SWI</t>
  </si>
  <si>
    <t>2007, 2008, 2009, 2010, 2011, 2012, 2013, 2014, 2015, 2016, 2017</t>
  </si>
  <si>
    <t>swi-timeseries_global_12.5km_daily_v3</t>
  </si>
  <si>
    <t>swi_europe_1km_daily_v1</t>
  </si>
  <si>
    <t>2015, 2016, 2017, 2018, 2019, 2020, 2021, 2022, 2023, 2024, 2025</t>
  </si>
  <si>
    <t>swi_europe_1km_daily_v2</t>
  </si>
  <si>
    <t>swi_global_12.5km_10daily_v3</t>
  </si>
  <si>
    <t>2007, 2008, 2009, 2010, 2011, 2012, 2013, 2014, 2015, 2016, 2017, 2018, 2019, 2020, 2021, 2022, 2023, 2024, 2025</t>
  </si>
  <si>
    <t>swi_global_12.5km_10daily_v4</t>
  </si>
  <si>
    <t>2007, 2008, 2009, 2010, 2011, 2012, 2013, 2014, 2015, 2016, 2017, 2018, 2019, 2020, 2021, 2022, 2023, 2024, 2025, 2026</t>
  </si>
  <si>
    <t>swi_global_12.5km_daily_v3</t>
  </si>
  <si>
    <t>swi_global_12.5km_daily_v4</t>
  </si>
  <si>
    <t>surface_soil_moisture</t>
  </si>
  <si>
    <t>ssm_europe_1km_daily_v1</t>
  </si>
  <si>
    <t>EO:CLMS:CDSE:SSM</t>
  </si>
  <si>
    <t>top-of-canopy_reflectances</t>
  </si>
  <si>
    <t>toc_global_300m_daily_v2</t>
  </si>
  <si>
    <t>EO:CLMS:CDSE:TCR</t>
  </si>
  <si>
    <t>vegetation_indices</t>
  </si>
  <si>
    <t>ndvi-lts_global_1km_10daily_v2</t>
  </si>
  <si>
    <t>EO:CLMS:CDSE:VI</t>
  </si>
  <si>
    <t>ndvi-lts_global_1km_10daily_v3</t>
  </si>
  <si>
    <t>ndvi-sts_global_1km_10daily_v3</t>
  </si>
  <si>
    <t>ndvi_global_1km_10daily_v2</t>
  </si>
  <si>
    <t>1998, 1999, 2000, 2001, 2002, 2003, 2004, 2005, 2006, 2007, 2008, 2009, 2010, 2011, 2012, 2013, 2014, 2015, 2016, 2017, 2018, 2019, 2020</t>
  </si>
  <si>
    <t>ndvi_global_1km_10daily_v3</t>
  </si>
  <si>
    <t>ndvi_global_300m_10daily_v1</t>
  </si>
  <si>
    <t>2014, 2015, 2016, 2017, 2018, 2019, 2020, 2021</t>
  </si>
  <si>
    <t>ndvi_global_300m_10daily_v2</t>
  </si>
  <si>
    <t>2020, 2021, 2022, 2023, 2024, 2025</t>
  </si>
  <si>
    <t>ndvi_global_300m_10daily_v3</t>
  </si>
  <si>
    <t>vegetation_phenology_and_productivity_parameters</t>
  </si>
  <si>
    <t>lsp_global_300m_yearly_v1</t>
  </si>
  <si>
    <t>EO:CLMS:CDSE:VPP</t>
  </si>
  <si>
    <t>2023, 2024</t>
  </si>
  <si>
    <t>lsp_global_300m_yearly_v2</t>
  </si>
  <si>
    <t>2014, 2015, 2016, 2017, 2018, 2019, 2020, 2021, 2022, 2023, 2024, 2025</t>
  </si>
  <si>
    <t>vegetation_properties</t>
  </si>
  <si>
    <t>fapar_global_1km_10daily_v2</t>
  </si>
  <si>
    <t>EO:CLMS:CDSE:VP</t>
  </si>
  <si>
    <t>fapar_global_300m_10daily_v1</t>
  </si>
  <si>
    <t>fapar_global_300m_10daily_v2</t>
  </si>
  <si>
    <t>fcover_global_1km_10daily_v2</t>
  </si>
  <si>
    <t>fcover_global_300m_10daily_v1</t>
  </si>
  <si>
    <t>fcover_global_300m_10daily_v2</t>
  </si>
  <si>
    <t>lai_global_300m_10daily_v1</t>
  </si>
  <si>
    <t>lai_global_300m_10daily_v2</t>
  </si>
  <si>
    <t>water_bodies</t>
  </si>
  <si>
    <t>wb_global_100m_monthly_v1</t>
  </si>
  <si>
    <t>EO:CLMS:CDSE:WB</t>
  </si>
  <si>
    <t>2020, 2021, 2022, 2023, 2024, 2025, 2026</t>
  </si>
  <si>
    <t>wb_global_1km_10daily_v2</t>
  </si>
  <si>
    <t>1998, 1999, 2000, 2001, 2002, 2003, 2004, 2005, 2006, 2007, 2008, 2009, 2010, 2011, 2012, 2013, 2014, 2015, 2016, 2017, 2018</t>
  </si>
  <si>
    <t>wb_global_300m_10daily_v1</t>
  </si>
  <si>
    <t>2014, 2015, 2016, 2017, 2018, 2019, 2020</t>
  </si>
  <si>
    <t>wb_global_300m_monthly_v2</t>
  </si>
  <si>
    <t xml:space="preserve"> </t>
  </si>
  <si>
    <t>EEA</t>
  </si>
  <si>
    <t>land_cover_use_in_priority_areas</t>
  </si>
  <si>
    <t>urban_atlas</t>
  </si>
  <si>
    <t>clms_ua_land-cover-land-use-change_europe_V010ha_3yearly_v1</t>
  </si>
  <si>
    <t>EO:EEA:CDSE:UA</t>
  </si>
  <si>
    <t>2018 &amp; 2021 update available on CDSE</t>
  </si>
  <si>
    <t>clms_ua_land-cover-land-use_europe_V025ha_3yearly_v1</t>
  </si>
  <si>
    <t>clms_ua_street-tree-layer_europe_V005ha_3yearly_v1</t>
  </si>
  <si>
    <t>2021 update available on CDSE</t>
  </si>
  <si>
    <t>landcover_landuse</t>
  </si>
  <si>
    <t>crop_types</t>
  </si>
  <si>
    <t>clms_vlcc_crop-types_europe_10m_yearly_v1</t>
  </si>
  <si>
    <t>EO:CLMS:CDSE:CRT</t>
  </si>
  <si>
    <t>clms_vlcc_crop-types-confidence-layer_europe_10m_yearly_v1</t>
  </si>
  <si>
    <t>cropping_patterns</t>
  </si>
  <si>
    <t>clms_vlcc_bare-soil-after-confidence-layer_europe_10m_yearly_v1</t>
  </si>
  <si>
    <t>EO:CLMS:CDSE:CRP</t>
  </si>
  <si>
    <t>clms_vlcc_bare-soil-after_europe_10m_yearly_v1</t>
  </si>
  <si>
    <t>clms_vlcc_bare-soil-before-confidence-layer_europe_10m_yearly_v1</t>
  </si>
  <si>
    <t>clms_vlcc_bare-soil-before_europe_10m_yearly_v1</t>
  </si>
  <si>
    <t>clms_vlcc_cropping-seasons-types_europe_10m_yearly_v1</t>
  </si>
  <si>
    <t>2017-2019, 2018-2020, 2019-2021, 2020-2022, 2021-2023</t>
  </si>
  <si>
    <t>clms_vlcc_cropping-seasons_europe_10m_yearly_v1</t>
  </si>
  <si>
    <t>clms_vlcc_fallow-land-duration-confidence-layer_europe_10m_yearly_v1</t>
  </si>
  <si>
    <t>clms_vlcc_fallow-land-duration_europe_10m_yearly_v1</t>
  </si>
  <si>
    <t>clms_vlcc_fallow-land-presence-confidence-layer_europe_10m_yearly_v1</t>
  </si>
  <si>
    <t>clms_vlcc_fallow-land-presence_europe_10m_yearly_v1</t>
  </si>
  <si>
    <t>clms_vlcc_main-crop-duration-confidence-layer_europe_10m_yearly_v1</t>
  </si>
  <si>
    <t>clms_vlcc_main-crop-duration_europe_10m_yearly_v1</t>
  </si>
  <si>
    <t>clms_vlcc_main-crop-emergence-confidence-layer_europe_10m_yearly_v1</t>
  </si>
  <si>
    <t>clms_vlcc_main-crop-emergence_europe_10m_yearly_v1</t>
  </si>
  <si>
    <t>clms_vlcc_main-crop-harvest-confidence-layer_europe_10m_yearly_v1</t>
  </si>
  <si>
    <t>clms_vlcc_main-crop-harvest_europe_10m_yearly_v1</t>
  </si>
  <si>
    <t>clms_vlcc_secondary-crop-duration-confidence-layer_europe_10m_yearly_v1</t>
  </si>
  <si>
    <t>clms_vlcc_secondary-crop-duration_europe_10m_yearly_v1</t>
  </si>
  <si>
    <t>clms_vlcc_secondary-crop-emergence_europe_10m_yearly_v1</t>
  </si>
  <si>
    <t>clms_vlcc_secondary-crop-types_europe_10m_yearly_v1</t>
  </si>
  <si>
    <t>dominant_leaf_type</t>
  </si>
  <si>
    <t>clms_vlcc_broadleaved-cover-density_europe_100m_yearly_v1</t>
  </si>
  <si>
    <t>EO:CLMS:CDSE:DLF</t>
  </si>
  <si>
    <t>clms_vlcc_coniferous-cover-density_europe_100m_yearly_v1</t>
  </si>
  <si>
    <t>clms_vlcc_dominant-leaf-type-change_europe_20m_3yearly_v1</t>
  </si>
  <si>
    <t>clms_vlcc_dominant-leaf-type-confidence-layer_europe_10m_yearly_v1</t>
  </si>
  <si>
    <t>clms_vlcc_dominant-leaf-type_europe_10m_yearly_v1</t>
  </si>
  <si>
    <t>dynamic_land_cover</t>
  </si>
  <si>
    <t>lc_global_100m_yearly_v3</t>
  </si>
  <si>
    <t>EO:CLMS:CDSE:DLC</t>
  </si>
  <si>
    <t>2015, 2016, 2017, 2018, 2019</t>
  </si>
  <si>
    <t>lcm_global_10m_yearly_v1</t>
  </si>
  <si>
    <t>tcd_pantropical_10m_yearly_v1</t>
  </si>
  <si>
    <t>forest_type</t>
  </si>
  <si>
    <t>clms_vlcc_forest-additional-support-layer_europe_10m_3yearly_v1</t>
  </si>
  <si>
    <t>EO:CLMS:CDSE:FTY</t>
  </si>
  <si>
    <t>clms_vlcc_forest-type_europe_100m_3yearly_v1</t>
  </si>
  <si>
    <t>clms_vlcc_forest-type_europe_10m_3yearly_v1</t>
  </si>
  <si>
    <t>grassland_and_herbaceous</t>
  </si>
  <si>
    <t>clms_vlcc_grassland-change-confidence-layer_europe_20m_3yearly_v1</t>
  </si>
  <si>
    <t>EO:CLMS:CDSE:GRA</t>
  </si>
  <si>
    <t>clms_vlcc_grassland-change_europe_20m_3yearly_v1</t>
  </si>
  <si>
    <t>clms_vlcc_grassland-confidence-layer_europe_10m_yearly_v1</t>
  </si>
  <si>
    <t>clms_vlcc_grassland_europe_100m_yearly_v1</t>
  </si>
  <si>
    <t>clms_vlcc_grassland_europe_10m_yearly_v1</t>
  </si>
  <si>
    <t>clms_vlcc_herbaceous-cover_europe_10m_yearly_v1</t>
  </si>
  <si>
    <t>clms_vlcc_ploughing-indicator_europe_10m_yearly_v1</t>
  </si>
  <si>
    <t>grassland_mowing_events</t>
  </si>
  <si>
    <t>clms_vlcc_grassland-mowing-events-confidence-layer_europe_10m_yearly_v1</t>
  </si>
  <si>
    <t>EO:CLMS:CDSE:GRAM</t>
  </si>
  <si>
    <t>clms_vlcc_grassland-mowing-events_europe_10m_yearly_v1</t>
  </si>
  <si>
    <t>clms_vlcc_grassland-mowing-dates_europe_10m_yearly_v1</t>
  </si>
  <si>
    <t>tree_cover_density</t>
  </si>
  <si>
    <t>clms_vlcc_tree-cover-density-confidence-layer_europe_10m_yearly_v1</t>
  </si>
  <si>
    <t>EO:CLMS:CDSE:TCD</t>
  </si>
  <si>
    <t>clms_vlcc_tree-cover-density_europe_100m_yearly_v1</t>
  </si>
  <si>
    <t>clms_vlcc_tree-cover-density_europe_10m_yearly_v1</t>
  </si>
  <si>
    <t>clms_vlcc_tree-cover-presence-change-confidence-layer_europe_20m_3yearly_v1</t>
  </si>
  <si>
    <t>clms_vlcc_tree-cover-presence-change_europe_20m_3yearly_v1</t>
  </si>
  <si>
    <t>clms_ua_building-height_europe_10m_3yearly_v1</t>
  </si>
  <si>
    <t>lst-daily-cycle_global_3km_10daily_v3</t>
  </si>
  <si>
    <t>EO:EEA:CDSE:LST</t>
  </si>
  <si>
    <t>lst-tci_global_3km_10daily_v3</t>
  </si>
  <si>
    <t>swi-timeseries_global_12.5km_daily_v4</t>
  </si>
  <si>
    <t>EO:EEA:CDSE:SWI</t>
  </si>
  <si>
    <t>lwq-nrt_global_1km_10daily_v1</t>
  </si>
  <si>
    <t>EO:EEA:CDSE:LWQ</t>
  </si>
  <si>
    <t>2016, 2017, 2018</t>
  </si>
  <si>
    <t>lwq-reproc_global_1km_10daily_v1</t>
  </si>
  <si>
    <t>lst-daily-cycle_global_5km_10daily_v3</t>
  </si>
  <si>
    <t>lst-tci_global_5km_10daily_v3</t>
  </si>
  <si>
    <t>lst_global_3km_hourly_v3</t>
  </si>
  <si>
    <t>lai_global_1km_10daily_v2</t>
  </si>
  <si>
    <t>auxiliary_data</t>
  </si>
  <si>
    <t>clms_wsi_cloud-classification_europe_utm_20m_daily_v1</t>
  </si>
  <si>
    <t>EO:CLMS:CDSE:AD</t>
  </si>
  <si>
    <t>In the process of onboarding to CDSE</t>
  </si>
  <si>
    <t>clms_wsi_fractional-snow-cover_europe_utm_20m_daily_v2</t>
  </si>
  <si>
    <t>clms_wsi_gap-filled-fractional-snow-cover_europe_utm_60m_daily_v1</t>
  </si>
  <si>
    <t>snow_state</t>
  </si>
  <si>
    <t>clms_wsi_sar-wet-snow_europe_utm_60m_daily_v2</t>
  </si>
  <si>
    <t>EO:CLMS:CDSE:SS</t>
  </si>
  <si>
    <t>clms_wsi_wet-dry-snow_europe_utm_60m_daily_v2</t>
  </si>
  <si>
    <t>clms_wsi_snow-phenology-s1-s2_europe_utm_60m_yearly_v1</t>
  </si>
  <si>
    <t xml:space="preserve">clms_wsi_snow-phenology-s2_europe_utm_20m_yearly_v1 </t>
  </si>
  <si>
    <t xml:space="preserve">clms_wsi_water-ice-cover-s2_europe_utm_20m_daily_v1 </t>
  </si>
  <si>
    <t xml:space="preserve">clms_wsi_water-ice-cover-s1_europe_utm_60m_daily_v1 </t>
  </si>
  <si>
    <t xml:space="preserve">clms_wsi_water-ice-cover-s1-s2_europe_utm_20m_daily_v1 </t>
  </si>
  <si>
    <t xml:space="preserve">clms_wsi_ice-cover-duration_europe_utm_20m_yearly_v1 </t>
  </si>
  <si>
    <t>water_extent</t>
  </si>
  <si>
    <t xml:space="preserve">clms_wsi_water-cover-duration_europe_utm_10m_yearly_v1 </t>
  </si>
  <si>
    <t>EO:CLMS:CDSE:WE</t>
  </si>
  <si>
    <t xml:space="preserve">clms_wsi_high-resolution-water-layer_europe_utm_10m_3yearly_v1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</si>
</sst>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7" tint="-0.499984740745262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141414"/>
      <name val="Aptos Narrow"/>
      <family val="2"/>
      <scheme val="minor"/>
    </font>
    <font>
      <sz val="11"/>
      <color rgb="FF000000"/>
      <name val="Aptos Narrow"/>
      <scheme val="minor"/>
    </font>
    <font>
      <sz val="11"/>
      <color rgb="FF000000"/>
      <name val="Aptos Narrow"/>
      <charset val="1"/>
    </font>
    <font>
      <sz val="11"/>
      <color rgb="FF000000"/>
      <name val="Calibri"/>
      <family val="2"/>
    </font>
    <font>
      <sz val="11"/>
      <color theme="1"/>
      <name val="Aptos Narrow"/>
      <charset val="1"/>
    </font>
  </fonts>
  <fills count="8">
    <fill>
      <patternFill patternType="none"/>
    </fill>
    <fill>
      <patternFill patternType="gray125"/>
    </fill>
    <fill>
      <patternFill patternType="solid">
        <fgColor theme="7" tint="0.59999389629810485"/>
        <bgColor indexed="65"/>
      </patternFill>
    </fill>
    <fill>
      <patternFill patternType="solid">
        <fgColor theme="9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2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5" fillId="0" borderId="0" applyNumberFormat="0" applyFill="0" applyBorder="0" applyAlignment="0" applyProtection="0"/>
  </cellStyleXfs>
  <cellXfs count="25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2" fillId="3" borderId="1" xfId="2" applyBorder="1" applyProtection="1">
      <protection locked="0"/>
    </xf>
    <xf numFmtId="0" fontId="2" fillId="5" borderId="3" xfId="2" applyFill="1" applyBorder="1" applyProtection="1">
      <protection locked="0"/>
    </xf>
    <xf numFmtId="0" fontId="2" fillId="3" borderId="3" xfId="2" applyBorder="1" applyProtection="1">
      <protection locked="0"/>
    </xf>
    <xf numFmtId="0" fontId="0" fillId="0" borderId="0" xfId="0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0" xfId="0" applyAlignment="1" applyProtection="1">
      <alignment horizontal="left"/>
      <protection locked="0"/>
    </xf>
    <xf numFmtId="0" fontId="2" fillId="7" borderId="3" xfId="2" applyFill="1" applyBorder="1" applyAlignment="1" applyProtection="1">
      <alignment horizontal="center"/>
    </xf>
    <xf numFmtId="0" fontId="3" fillId="2" borderId="4" xfId="1" applyFont="1" applyBorder="1" applyProtection="1">
      <protection locked="0"/>
    </xf>
    <xf numFmtId="0" fontId="3" fillId="2" borderId="4" xfId="1" applyFont="1" applyBorder="1" applyAlignment="1" applyProtection="1">
      <alignment horizontal="left"/>
      <protection locked="0"/>
    </xf>
    <xf numFmtId="0" fontId="3" fillId="2" borderId="2" xfId="1" applyFont="1" applyBorder="1" applyAlignment="1" applyProtection="1">
      <alignment horizontal="left"/>
      <protection locked="0"/>
    </xf>
    <xf numFmtId="0" fontId="0" fillId="0" borderId="0" xfId="0" applyAlignment="1">
      <alignment horizontal="center"/>
    </xf>
    <xf numFmtId="0" fontId="0" fillId="6" borderId="0" xfId="0" applyFill="1" applyAlignment="1">
      <alignment horizontal="left"/>
    </xf>
    <xf numFmtId="0" fontId="2" fillId="4" borderId="3" xfId="2" applyFill="1" applyBorder="1" applyAlignment="1" applyProtection="1">
      <alignment horizontal="left"/>
      <protection locked="0"/>
    </xf>
    <xf numFmtId="0" fontId="0" fillId="0" borderId="0" xfId="0" applyAlignment="1">
      <alignment horizontal="left"/>
    </xf>
    <xf numFmtId="0" fontId="0" fillId="0" borderId="0" xfId="3" applyFont="1" applyProtection="1">
      <protection locked="0"/>
    </xf>
    <xf numFmtId="0" fontId="7" fillId="0" borderId="0" xfId="3" applyFont="1" applyProtection="1">
      <protection locked="0"/>
    </xf>
    <xf numFmtId="0" fontId="0" fillId="0" borderId="0" xfId="3" applyFont="1" applyAlignment="1" applyProtection="1">
      <alignment horizontal="left"/>
      <protection locked="0"/>
    </xf>
    <xf numFmtId="0" fontId="8" fillId="0" borderId="0" xfId="0" applyFont="1"/>
    <xf numFmtId="0" fontId="9" fillId="0" borderId="0" xfId="0" applyFont="1" applyProtection="1">
      <protection locked="0"/>
    </xf>
    <xf numFmtId="0" fontId="10" fillId="0" borderId="0" xfId="0" applyFont="1" applyAlignment="1">
      <alignment wrapText="1"/>
    </xf>
    <xf numFmtId="0" fontId="0" fillId="0" borderId="0" xfId="0" applyAlignment="1" applyProtection="1">
      <alignment wrapText="1"/>
      <protection locked="0"/>
    </xf>
    <xf numFmtId="0" fontId="10" fillId="0" borderId="0" xfId="0" applyFont="1"/>
  </cellXfs>
  <cellStyles count="4">
    <cellStyle name="40% - Accent4" xfId="1" builtinId="43"/>
    <cellStyle name="Accent6" xfId="2" builtinId="49"/>
    <cellStyle name="Hyperlink" xfId="3" builtinId="8"/>
    <cellStyle name="Normal" xfId="0" builtinId="0"/>
  </cellStyles>
  <dxfs count="24">
    <dxf>
      <protection locked="0" hidden="0"/>
    </dxf>
    <dxf>
      <protection locked="0" hidden="0"/>
    </dxf>
    <dxf>
      <protection locked="0" hidden="0"/>
    </dxf>
    <dxf>
      <protection locked="0" hidden="0"/>
    </dxf>
    <dxf>
      <numFmt numFmtId="0" formatCode="General"/>
      <protection locked="1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alignment horizontal="center" vertical="bottom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bottom" textRotation="0" wrapText="0" indent="0" justifyLastLine="0" shrinkToFit="0" readingOrder="0"/>
      <protection locked="0" hidden="0"/>
    </dxf>
    <dxf>
      <protection locked="0" hidden="0"/>
    </dxf>
    <dxf>
      <border diagonalUp="0" diagonalDown="0">
        <left style="thin">
          <color indexed="64"/>
        </left>
        <right style="thin">
          <color indexed="64"/>
        </right>
        <top/>
        <bottom/>
      </border>
      <protection locked="0" hidden="0"/>
    </dxf>
    <dxf>
      <protection locked="0" hidden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  <protection locked="0" hidden="0"/>
    </dxf>
    <dxf>
      <alignment horizontal="center" vertical="bottom" textRotation="0" wrapText="0" indent="0" justifyLastLine="0" shrinkToFit="0" readingOrder="0"/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1918300-DCB9-431C-A0BC-CEBF690D32F4}" name="WEkEO" displayName="WEkEO" ref="A1:H178" totalsRowShown="0" headerRowDxfId="23" dataDxfId="22">
  <autoFilter ref="A1:H178" xr:uid="{61918300-DCB9-431C-A0BC-CEBF690D32F4}"/>
  <tableColumns count="8">
    <tableColumn id="1" xr3:uid="{C66CEF97-4CF9-4E55-A242-FB6D4E371DAC}" name="#" dataDxfId="21"/>
    <tableColumn id="2" xr3:uid="{35C5D886-F123-494B-ABC5-894C6D649A0C}" name="dataset_id" dataDxfId="20"/>
    <tableColumn id="3" xr3:uid="{1BB440D3-47F5-470D-8515-B8235B3E3B4C}" name="productType" dataDxfId="19"/>
    <tableColumn id="6" xr3:uid="{9EC3C65B-7D4A-4E77-9084-356F96E4697C}" name="Resolution" dataDxfId="18"/>
    <tableColumn id="4" xr3:uid="{443E92D2-5D30-49D6-8C05-E9F62E00F0AC}" name="Year" dataDxfId="17"/>
    <tableColumn id="9" xr3:uid="{E3536FC8-A4FB-417B-B470-9BC6D645F82D}" name="CLMS / datasetIdentifier" dataDxfId="16">
      <calculatedColumnFormula>IFERROR(VLOOKUP(WEkEO[[#This Row],['#]],Table5[[current WEkEO dataset]:[Proposed new WEkEO Collection ID]],3,FALSE),"-") &amp; " / " &amp; IFERROR(VLOOKUP(WEkEO[[#This Row],['#]],Table5[[current WEkEO dataset]:[Proposed new WEkEO Collection ID]],6,FALSE),"-")</calculatedColumnFormula>
    </tableColumn>
    <tableColumn id="10" xr3:uid="{C46A3719-6E2D-49D0-80CA-69DF488C6018}" name="Proposed new WEkEO collection ID" dataDxfId="15">
      <calculatedColumnFormula>IFERROR(VLOOKUP(WEkEO[[#This Row],['#]],Table5[[current WEkEO dataset]:[Proposed new WEkEO Collection ID]],8,FALSE),"-")</calculatedColumnFormula>
    </tableColumn>
    <tableColumn id="8" xr3:uid="{F33CC20B-D619-406E-967D-BBFC40BB31DE}" name="Parallel maintenance/hard switch" dataDxfId="1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F8C405B-4023-48A5-9302-FD8C7C5F08FC}" name="Table5" displayName="Table5" ref="A1:L148" totalsRowShown="0" headerRowDxfId="13" dataDxfId="12" headerRowCellStyle="Accent6">
  <autoFilter ref="A1:L148" xr:uid="{5F8C405B-4023-48A5-9302-FD8C7C5F08FC}">
    <filterColumn colId="4">
      <filters>
        <filter val="bio-geophysical"/>
        <filter val="land_cover_use_in_priority_areas"/>
        <filter val="landcover_landuse"/>
      </filters>
    </filterColumn>
  </autoFilter>
  <tableColumns count="12">
    <tableColumn id="1" xr3:uid="{735B7A7E-4F35-4A6E-9D9E-1944680BF1EF}" name="#" dataDxfId="11"/>
    <tableColumn id="12" xr3:uid="{DE3650F9-1EF8-4273-97C5-DC969928FAF9}" name="current WEkEO dataset" dataDxfId="10"/>
    <tableColumn id="9" xr3:uid="{B3C0BE18-7281-4D12-92EB-BAB420396CBB}" name="Entity" dataDxfId="9"/>
    <tableColumn id="2" xr3:uid="{712BB468-B489-4F42-AD2B-C231D8B82FB1}" name="collection" dataDxfId="8"/>
    <tableColumn id="3" xr3:uid="{DF8A8B0A-7D80-4388-B910-F2316E6000F4}" name="component" dataDxfId="7"/>
    <tableColumn id="4" xr3:uid="{73DD8B0B-CEB7-4094-AD24-9AC3507F935B}" name="productType" dataDxfId="6"/>
    <tableColumn id="5" xr3:uid="{AFEAC76E-7932-48A3-88F8-67E6BC3354C9}" name="datasetIdentifier" dataDxfId="5"/>
    <tableColumn id="8" xr3:uid="{F1F615F9-2F7D-43B3-856A-A91F298A7C66}" name="currentWEkEO ID" dataDxfId="4">
      <calculatedColumnFormula>IFERROR(VLOOKUP(Table5[[#This Row],[current WEkEO dataset]],WEkEO[],2,FALSE),"-")&amp;" / "&amp;IFERROR(VLOOKUP(Table5[[#This Row],[current WEkEO dataset]],WEkEO[],3,FALSE),"-")</calculatedColumnFormula>
    </tableColumn>
    <tableColumn id="6" xr3:uid="{B6CC5F47-DBEE-4DE8-86B3-E22607DF92D1}" name="Proposed new WEkEO Collection ID" dataDxfId="3"/>
    <tableColumn id="7" xr3:uid="{70212B4F-0F8B-4D71-8981-1AB4BBB05402}" name="Year" dataDxfId="2"/>
    <tableColumn id="13" xr3:uid="{9C186D93-ABE6-4854-B68F-7498C738B4AB}" name="Resolution" dataDxfId="1">
      <calculatedColumnFormula array="1">INDEX(_xlfn.TEXTSPLIT(TRIM(Table5[[#This Row],[datasetIdentifier]]), "_"), COLUMNS(_xlfn.TEXTSPLIT(TRIM(Table5[[#This Row],[datasetIdentifier]]), "_")) - 2)</calculatedColumnFormula>
    </tableColumn>
    <tableColumn id="11" xr3:uid="{C18548F8-666A-4DA8-90FC-82F3DAE494CE}" name="Commen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CB64D-44A6-479A-84B4-3B6A42C5340C}">
  <dimension ref="A1:H178"/>
  <sheetViews>
    <sheetView zoomScale="110" zoomScaleNormal="110" workbookViewId="0">
      <selection activeCell="P37" sqref="P37"/>
    </sheetView>
  </sheetViews>
  <sheetFormatPr defaultColWidth="9.140625" defaultRowHeight="15"/>
  <cols>
    <col min="1" max="1" width="4.140625" style="2" customWidth="1"/>
    <col min="2" max="2" width="33.140625" style="1" bestFit="1" customWidth="1"/>
    <col min="3" max="3" width="44.5703125" style="1" bestFit="1" customWidth="1"/>
    <col min="4" max="4" width="13.140625" style="2" bestFit="1" customWidth="1"/>
    <col min="5" max="5" width="50.140625" style="8" bestFit="1" customWidth="1"/>
    <col min="6" max="6" width="80.28515625" style="13" bestFit="1" customWidth="1"/>
    <col min="7" max="7" width="39.5703125" style="13" customWidth="1"/>
    <col min="8" max="8" width="33.42578125" style="1" customWidth="1"/>
    <col min="9" max="16384" width="9.140625" style="1"/>
  </cols>
  <sheetData>
    <row r="1" spans="1:8">
      <c r="A1" s="6" t="s">
        <v>0</v>
      </c>
      <c r="B1" s="10" t="s">
        <v>1</v>
      </c>
      <c r="C1" s="10" t="s">
        <v>2</v>
      </c>
      <c r="D1" s="11" t="s">
        <v>3</v>
      </c>
      <c r="E1" s="12" t="s">
        <v>4</v>
      </c>
      <c r="F1" s="14" t="s">
        <v>5</v>
      </c>
      <c r="G1" s="14" t="s">
        <v>6</v>
      </c>
      <c r="H1" s="1" t="s">
        <v>7</v>
      </c>
    </row>
    <row r="2" spans="1:8">
      <c r="A2" s="1">
        <v>1</v>
      </c>
      <c r="B2" s="1" t="s">
        <v>8</v>
      </c>
      <c r="C2" s="1" t="s">
        <v>9</v>
      </c>
      <c r="E2" s="8" t="s">
        <v>9</v>
      </c>
      <c r="F2" s="16" t="str">
        <f>IFERROR(VLOOKUP(WEkEO[[#This Row],['#]],Table5[[current WEkEO dataset]:[Proposed new WEkEO Collection ID]],3,FALSE),"-") &amp; " / " &amp; IFERROR(VLOOKUP(WEkEO[[#This Row],['#]],Table5[[current WEkEO dataset]:[Proposed new WEkEO Collection ID]],6,FALSE),"-")</f>
        <v>- / -</v>
      </c>
      <c r="G2" s="16" t="str">
        <f>IFERROR(VLOOKUP(WEkEO[[#This Row],['#]],Table5[[current WEkEO dataset]:[Proposed new WEkEO Collection ID]],8,FALSE),"-")</f>
        <v>-</v>
      </c>
      <c r="H2" s="1" t="s">
        <v>10</v>
      </c>
    </row>
    <row r="3" spans="1:8">
      <c r="A3" s="1">
        <f>A2+1</f>
        <v>2</v>
      </c>
      <c r="B3" s="1" t="s">
        <v>11</v>
      </c>
      <c r="C3" s="1" t="s">
        <v>9</v>
      </c>
      <c r="E3" s="8" t="s">
        <v>9</v>
      </c>
      <c r="F3" s="16" t="str">
        <f>IFERROR(VLOOKUP(WEkEO[[#This Row],['#]],Table5[[current WEkEO dataset]:[Proposed new WEkEO Collection ID]],3,FALSE),"-") &amp; " / " &amp; IFERROR(VLOOKUP(WEkEO[[#This Row],['#]],Table5[[current WEkEO dataset]:[Proposed new WEkEO Collection ID]],6,FALSE),"-")</f>
        <v>- / -</v>
      </c>
      <c r="G3" s="16" t="str">
        <f>IFERROR(VLOOKUP(WEkEO[[#This Row],['#]],Table5[[current WEkEO dataset]:[Proposed new WEkEO Collection ID]],8,FALSE),"-")</f>
        <v>-</v>
      </c>
      <c r="H3" s="1" t="s">
        <v>10</v>
      </c>
    </row>
    <row r="4" spans="1:8">
      <c r="A4" s="1">
        <f t="shared" ref="A4:A67" si="0">A3+1</f>
        <v>3</v>
      </c>
      <c r="B4" s="1" t="s">
        <v>12</v>
      </c>
      <c r="C4" s="1" t="s">
        <v>9</v>
      </c>
      <c r="E4" s="8" t="s">
        <v>9</v>
      </c>
      <c r="F4" s="16" t="str">
        <f>IFERROR(VLOOKUP(WEkEO[[#This Row],['#]],Table5[[current WEkEO dataset]:[Proposed new WEkEO Collection ID]],3,FALSE),"-") &amp; " / " &amp; IFERROR(VLOOKUP(WEkEO[[#This Row],['#]],Table5[[current WEkEO dataset]:[Proposed new WEkEO Collection ID]],6,FALSE),"-")</f>
        <v>- / -</v>
      </c>
      <c r="G4" s="16" t="str">
        <f>IFERROR(VLOOKUP(WEkEO[[#This Row],['#]],Table5[[current WEkEO dataset]:[Proposed new WEkEO Collection ID]],8,FALSE),"-")</f>
        <v>-</v>
      </c>
      <c r="H4" s="1" t="s">
        <v>10</v>
      </c>
    </row>
    <row r="5" spans="1:8">
      <c r="A5" s="1">
        <f t="shared" si="0"/>
        <v>4</v>
      </c>
      <c r="B5" s="1" t="s">
        <v>13</v>
      </c>
      <c r="C5" s="1" t="s">
        <v>9</v>
      </c>
      <c r="E5" s="8" t="s">
        <v>9</v>
      </c>
      <c r="F5" s="16" t="str">
        <f>IFERROR(VLOOKUP(WEkEO[[#This Row],['#]],Table5[[current WEkEO dataset]:[Proposed new WEkEO Collection ID]],3,FALSE),"-") &amp; " / " &amp; IFERROR(VLOOKUP(WEkEO[[#This Row],['#]],Table5[[current WEkEO dataset]:[Proposed new WEkEO Collection ID]],6,FALSE),"-")</f>
        <v>- / -</v>
      </c>
      <c r="G5" s="16" t="str">
        <f>IFERROR(VLOOKUP(WEkEO[[#This Row],['#]],Table5[[current WEkEO dataset]:[Proposed new WEkEO Collection ID]],8,FALSE),"-")</f>
        <v>-</v>
      </c>
      <c r="H5" s="1" t="s">
        <v>10</v>
      </c>
    </row>
    <row r="6" spans="1:8">
      <c r="A6" s="1">
        <f t="shared" si="0"/>
        <v>5</v>
      </c>
      <c r="B6" s="1" t="s">
        <v>14</v>
      </c>
      <c r="C6" s="1" t="s">
        <v>9</v>
      </c>
      <c r="E6" s="8" t="s">
        <v>9</v>
      </c>
      <c r="F6" s="16" t="str">
        <f>IFERROR(VLOOKUP(WEkEO[[#This Row],['#]],Table5[[current WEkEO dataset]:[Proposed new WEkEO Collection ID]],3,FALSE),"-") &amp; " / " &amp; IFERROR(VLOOKUP(WEkEO[[#This Row],['#]],Table5[[current WEkEO dataset]:[Proposed new WEkEO Collection ID]],6,FALSE),"-")</f>
        <v>- / -</v>
      </c>
      <c r="G6" s="16" t="str">
        <f>IFERROR(VLOOKUP(WEkEO[[#This Row],['#]],Table5[[current WEkEO dataset]:[Proposed new WEkEO Collection ID]],8,FALSE),"-")</f>
        <v>-</v>
      </c>
      <c r="H6" s="1" t="s">
        <v>10</v>
      </c>
    </row>
    <row r="7" spans="1:8">
      <c r="A7" s="1">
        <f t="shared" si="0"/>
        <v>6</v>
      </c>
      <c r="B7" s="1" t="s">
        <v>15</v>
      </c>
      <c r="C7" s="1" t="s">
        <v>9</v>
      </c>
      <c r="E7" s="8" t="s">
        <v>9</v>
      </c>
      <c r="F7" s="16" t="str">
        <f>IFERROR(VLOOKUP(WEkEO[[#This Row],['#]],Table5[[current WEkEO dataset]:[Proposed new WEkEO Collection ID]],3,FALSE),"-") &amp; " / " &amp; IFERROR(VLOOKUP(WEkEO[[#This Row],['#]],Table5[[current WEkEO dataset]:[Proposed new WEkEO Collection ID]],6,FALSE),"-")</f>
        <v>- / -</v>
      </c>
      <c r="G7" s="16" t="str">
        <f>IFERROR(VLOOKUP(WEkEO[[#This Row],['#]],Table5[[current WEkEO dataset]:[Proposed new WEkEO Collection ID]],8,FALSE),"-")</f>
        <v>-</v>
      </c>
      <c r="H7" s="1" t="s">
        <v>10</v>
      </c>
    </row>
    <row r="8" spans="1:8">
      <c r="A8" s="1">
        <f t="shared" si="0"/>
        <v>7</v>
      </c>
      <c r="B8" s="1" t="s">
        <v>16</v>
      </c>
      <c r="C8" s="1" t="s">
        <v>9</v>
      </c>
      <c r="E8" s="8" t="s">
        <v>9</v>
      </c>
      <c r="F8" s="16" t="str">
        <f>IFERROR(VLOOKUP(WEkEO[[#This Row],['#]],Table5[[current WEkEO dataset]:[Proposed new WEkEO Collection ID]],3,FALSE),"-") &amp; " / " &amp; IFERROR(VLOOKUP(WEkEO[[#This Row],['#]],Table5[[current WEkEO dataset]:[Proposed new WEkEO Collection ID]],6,FALSE),"-")</f>
        <v>- / -</v>
      </c>
      <c r="G8" s="16" t="str">
        <f>IFERROR(VLOOKUP(WEkEO[[#This Row],['#]],Table5[[current WEkEO dataset]:[Proposed new WEkEO Collection ID]],8,FALSE),"-")</f>
        <v>-</v>
      </c>
      <c r="H8" s="1" t="s">
        <v>10</v>
      </c>
    </row>
    <row r="9" spans="1:8">
      <c r="A9" s="1">
        <f t="shared" si="0"/>
        <v>8</v>
      </c>
      <c r="B9" s="1" t="s">
        <v>17</v>
      </c>
      <c r="C9" s="1" t="s">
        <v>9</v>
      </c>
      <c r="E9" s="8" t="s">
        <v>9</v>
      </c>
      <c r="F9" s="16" t="str">
        <f>IFERROR(VLOOKUP(WEkEO[[#This Row],['#]],Table5[[current WEkEO dataset]:[Proposed new WEkEO Collection ID]],3,FALSE),"-") &amp; " / " &amp; IFERROR(VLOOKUP(WEkEO[[#This Row],['#]],Table5[[current WEkEO dataset]:[Proposed new WEkEO Collection ID]],6,FALSE),"-")</f>
        <v>- / -</v>
      </c>
      <c r="G9" s="16" t="str">
        <f>IFERROR(VLOOKUP(WEkEO[[#This Row],['#]],Table5[[current WEkEO dataset]:[Proposed new WEkEO Collection ID]],8,FALSE),"-")</f>
        <v>-</v>
      </c>
      <c r="H9" s="1" t="s">
        <v>10</v>
      </c>
    </row>
    <row r="10" spans="1:8">
      <c r="A10" s="1">
        <f t="shared" si="0"/>
        <v>9</v>
      </c>
      <c r="B10" s="1" t="s">
        <v>18</v>
      </c>
      <c r="C10" s="1" t="s">
        <v>19</v>
      </c>
      <c r="D10" s="2" t="s">
        <v>20</v>
      </c>
      <c r="E10" s="8">
        <v>2018</v>
      </c>
      <c r="F10" s="16" t="str">
        <f>IFERROR(VLOOKUP(WEkEO[[#This Row],['#]],Table5[[current WEkEO dataset]:[Proposed new WEkEO Collection ID]],3,FALSE),"-") &amp; " / " &amp; IFERROR(VLOOKUP(WEkEO[[#This Row],['#]],Table5[[current WEkEO dataset]:[Proposed new WEkEO Collection ID]],6,FALSE),"-")</f>
        <v>- / -</v>
      </c>
      <c r="G10" s="16" t="str">
        <f>IFERROR(VLOOKUP(WEkEO[[#This Row],['#]],Table5[[current WEkEO dataset]:[Proposed new WEkEO Collection ID]],8,FALSE),"-")</f>
        <v>-</v>
      </c>
      <c r="H10" s="1" t="s">
        <v>21</v>
      </c>
    </row>
    <row r="11" spans="1:8">
      <c r="A11" s="1">
        <f t="shared" si="0"/>
        <v>10</v>
      </c>
      <c r="B11" s="1" t="s">
        <v>18</v>
      </c>
      <c r="C11" s="1" t="s">
        <v>19</v>
      </c>
      <c r="D11" s="2" t="s">
        <v>20</v>
      </c>
      <c r="E11" s="8">
        <v>2021</v>
      </c>
      <c r="F11" s="16" t="str">
        <f>IFERROR(VLOOKUP(WEkEO[[#This Row],['#]],Table5[[current WEkEO dataset]:[Proposed new WEkEO Collection ID]],3,FALSE),"-") &amp; " / " &amp; IFERROR(VLOOKUP(WEkEO[[#This Row],['#]],Table5[[current WEkEO dataset]:[Proposed new WEkEO Collection ID]],6,FALSE),"-")</f>
        <v>- / -</v>
      </c>
      <c r="G11" s="16" t="str">
        <f>IFERROR(VLOOKUP(WEkEO[[#This Row],['#]],Table5[[current WEkEO dataset]:[Proposed new WEkEO Collection ID]],8,FALSE),"-")</f>
        <v>-</v>
      </c>
      <c r="H11" s="1" t="s">
        <v>21</v>
      </c>
    </row>
    <row r="12" spans="1:8">
      <c r="A12" s="1">
        <f t="shared" si="0"/>
        <v>11</v>
      </c>
      <c r="B12" s="1" t="s">
        <v>18</v>
      </c>
      <c r="C12" s="1" t="s">
        <v>19</v>
      </c>
      <c r="D12" s="2" t="s">
        <v>20</v>
      </c>
      <c r="E12" s="8">
        <v>2023</v>
      </c>
      <c r="F12" s="16" t="str">
        <f>IFERROR(VLOOKUP(WEkEO[[#This Row],['#]],Table5[[current WEkEO dataset]:[Proposed new WEkEO Collection ID]],3,FALSE),"-") &amp; " / " &amp; IFERROR(VLOOKUP(WEkEO[[#This Row],['#]],Table5[[current WEkEO dataset]:[Proposed new WEkEO Collection ID]],6,FALSE),"-")</f>
        <v>- / -</v>
      </c>
      <c r="G12" s="16" t="str">
        <f>IFERROR(VLOOKUP(WEkEO[[#This Row],['#]],Table5[[current WEkEO dataset]:[Proposed new WEkEO Collection ID]],8,FALSE),"-")</f>
        <v>-</v>
      </c>
      <c r="H12" s="1" t="s">
        <v>22</v>
      </c>
    </row>
    <row r="13" spans="1:8">
      <c r="A13" s="1">
        <f t="shared" si="0"/>
        <v>12</v>
      </c>
      <c r="B13" s="1" t="s">
        <v>18</v>
      </c>
      <c r="C13" s="1" t="s">
        <v>23</v>
      </c>
      <c r="D13" s="2" t="s">
        <v>20</v>
      </c>
      <c r="E13" s="8">
        <v>2023</v>
      </c>
      <c r="F13" s="16" t="str">
        <f>IFERROR(VLOOKUP(WEkEO[[#This Row],['#]],Table5[[current WEkEO dataset]:[Proposed new WEkEO Collection ID]],3,FALSE),"-") &amp; " / " &amp; IFERROR(VLOOKUP(WEkEO[[#This Row],['#]],Table5[[current WEkEO dataset]:[Proposed new WEkEO Collection ID]],6,FALSE),"-")</f>
        <v>- / -</v>
      </c>
      <c r="G13" s="16" t="str">
        <f>IFERROR(VLOOKUP(WEkEO[[#This Row],['#]],Table5[[current WEkEO dataset]:[Proposed new WEkEO Collection ID]],8,FALSE),"-")</f>
        <v>-</v>
      </c>
      <c r="H13" s="1" t="s">
        <v>22</v>
      </c>
    </row>
    <row r="14" spans="1:8">
      <c r="A14" s="1">
        <f t="shared" si="0"/>
        <v>13</v>
      </c>
      <c r="B14" s="1" t="s">
        <v>18</v>
      </c>
      <c r="C14" s="1" t="s">
        <v>24</v>
      </c>
      <c r="D14" s="2" t="s">
        <v>20</v>
      </c>
      <c r="E14" s="8">
        <v>2023</v>
      </c>
      <c r="F14" s="16" t="str">
        <f>IFERROR(VLOOKUP(WEkEO[[#This Row],['#]],Table5[[current WEkEO dataset]:[Proposed new WEkEO Collection ID]],3,FALSE),"-") &amp; " / " &amp; IFERROR(VLOOKUP(WEkEO[[#This Row],['#]],Table5[[current WEkEO dataset]:[Proposed new WEkEO Collection ID]],6,FALSE),"-")</f>
        <v>- / -</v>
      </c>
      <c r="G14" s="16" t="str">
        <f>IFERROR(VLOOKUP(WEkEO[[#This Row],['#]],Table5[[current WEkEO dataset]:[Proposed new WEkEO Collection ID]],8,FALSE),"-")</f>
        <v>-</v>
      </c>
      <c r="H14" s="1" t="s">
        <v>22</v>
      </c>
    </row>
    <row r="15" spans="1:8">
      <c r="A15" s="1">
        <f t="shared" si="0"/>
        <v>14</v>
      </c>
      <c r="B15" s="1" t="s">
        <v>18</v>
      </c>
      <c r="C15" s="1" t="s">
        <v>25</v>
      </c>
      <c r="D15" s="2" t="s">
        <v>20</v>
      </c>
      <c r="E15" s="8">
        <v>2023</v>
      </c>
      <c r="F15" s="16" t="str">
        <f>IFERROR(VLOOKUP(WEkEO[[#This Row],['#]],Table5[[current WEkEO dataset]:[Proposed new WEkEO Collection ID]],3,FALSE),"-") &amp; " / " &amp; IFERROR(VLOOKUP(WEkEO[[#This Row],['#]],Table5[[current WEkEO dataset]:[Proposed new WEkEO Collection ID]],6,FALSE),"-")</f>
        <v>- / -</v>
      </c>
      <c r="G15" s="16" t="str">
        <f>IFERROR(VLOOKUP(WEkEO[[#This Row],['#]],Table5[[current WEkEO dataset]:[Proposed new WEkEO Collection ID]],8,FALSE),"-")</f>
        <v>-</v>
      </c>
      <c r="H15" s="1" t="s">
        <v>22</v>
      </c>
    </row>
    <row r="16" spans="1:8">
      <c r="A16" s="1">
        <f t="shared" si="0"/>
        <v>15</v>
      </c>
      <c r="B16" s="1" t="s">
        <v>26</v>
      </c>
      <c r="C16" s="1" t="s">
        <v>27</v>
      </c>
      <c r="D16" s="2" t="s">
        <v>20</v>
      </c>
      <c r="E16" s="8" t="s">
        <v>28</v>
      </c>
      <c r="F16" s="16" t="str">
        <f>IFERROR(VLOOKUP(WEkEO[[#This Row],['#]],Table5[[current WEkEO dataset]:[Proposed new WEkEO Collection ID]],3,FALSE),"-") &amp; " / " &amp; IFERROR(VLOOKUP(WEkEO[[#This Row],['#]],Table5[[current WEkEO dataset]:[Proposed new WEkEO Collection ID]],6,FALSE),"-")</f>
        <v>- / -</v>
      </c>
      <c r="G16" s="16" t="str">
        <f>IFERROR(VLOOKUP(WEkEO[[#This Row],['#]],Table5[[current WEkEO dataset]:[Proposed new WEkEO Collection ID]],8,FALSE),"-")</f>
        <v>-</v>
      </c>
      <c r="H16" s="1" t="s">
        <v>22</v>
      </c>
    </row>
    <row r="17" spans="1:8">
      <c r="A17" s="1">
        <f t="shared" si="0"/>
        <v>16</v>
      </c>
      <c r="B17" s="1" t="s">
        <v>26</v>
      </c>
      <c r="C17" s="1" t="s">
        <v>29</v>
      </c>
      <c r="D17" s="2" t="s">
        <v>20</v>
      </c>
      <c r="E17" s="8" t="s">
        <v>28</v>
      </c>
      <c r="F17" s="16" t="str">
        <f>IFERROR(VLOOKUP(WEkEO[[#This Row],['#]],Table5[[current WEkEO dataset]:[Proposed new WEkEO Collection ID]],3,FALSE),"-") &amp; " / " &amp; IFERROR(VLOOKUP(WEkEO[[#This Row],['#]],Table5[[current WEkEO dataset]:[Proposed new WEkEO Collection ID]],6,FALSE),"-")</f>
        <v>- / -</v>
      </c>
      <c r="G17" s="16" t="str">
        <f>IFERROR(VLOOKUP(WEkEO[[#This Row],['#]],Table5[[current WEkEO dataset]:[Proposed new WEkEO Collection ID]],8,FALSE),"-")</f>
        <v>-</v>
      </c>
      <c r="H17" s="1" t="s">
        <v>22</v>
      </c>
    </row>
    <row r="18" spans="1:8">
      <c r="A18" s="1">
        <f t="shared" si="0"/>
        <v>17</v>
      </c>
      <c r="B18" s="1" t="s">
        <v>30</v>
      </c>
      <c r="C18" s="1" t="s">
        <v>27</v>
      </c>
      <c r="D18" s="2" t="s">
        <v>20</v>
      </c>
      <c r="E18" s="8" t="s">
        <v>28</v>
      </c>
      <c r="F18" s="16" t="str">
        <f>IFERROR(VLOOKUP(WEkEO[[#This Row],['#]],Table5[[current WEkEO dataset]:[Proposed new WEkEO Collection ID]],3,FALSE),"-") &amp; " / " &amp; IFERROR(VLOOKUP(WEkEO[[#This Row],['#]],Table5[[current WEkEO dataset]:[Proposed new WEkEO Collection ID]],6,FALSE),"-")</f>
        <v>- / -</v>
      </c>
      <c r="G18" s="16" t="str">
        <f>IFERROR(VLOOKUP(WEkEO[[#This Row],['#]],Table5[[current WEkEO dataset]:[Proposed new WEkEO Collection ID]],8,FALSE),"-")</f>
        <v>-</v>
      </c>
      <c r="H18" s="1" t="s">
        <v>22</v>
      </c>
    </row>
    <row r="19" spans="1:8">
      <c r="A19" s="1">
        <f t="shared" si="0"/>
        <v>18</v>
      </c>
      <c r="B19" s="1" t="s">
        <v>30</v>
      </c>
      <c r="C19" s="1" t="s">
        <v>29</v>
      </c>
      <c r="D19" s="2" t="s">
        <v>20</v>
      </c>
      <c r="E19" s="8" t="s">
        <v>28</v>
      </c>
      <c r="F19" s="16" t="str">
        <f>IFERROR(VLOOKUP(WEkEO[[#This Row],['#]],Table5[[current WEkEO dataset]:[Proposed new WEkEO Collection ID]],3,FALSE),"-") &amp; " / " &amp; IFERROR(VLOOKUP(WEkEO[[#This Row],['#]],Table5[[current WEkEO dataset]:[Proposed new WEkEO Collection ID]],6,FALSE),"-")</f>
        <v>- / -</v>
      </c>
      <c r="G19" s="16" t="str">
        <f>IFERROR(VLOOKUP(WEkEO[[#This Row],['#]],Table5[[current WEkEO dataset]:[Proposed new WEkEO Collection ID]],8,FALSE),"-")</f>
        <v>-</v>
      </c>
      <c r="H19" s="1" t="s">
        <v>22</v>
      </c>
    </row>
    <row r="20" spans="1:8">
      <c r="A20" s="1">
        <f t="shared" si="0"/>
        <v>19</v>
      </c>
      <c r="B20" s="1" t="s">
        <v>31</v>
      </c>
      <c r="C20" s="1" t="s">
        <v>32</v>
      </c>
      <c r="D20" s="2" t="s">
        <v>20</v>
      </c>
      <c r="E20" s="8" t="s">
        <v>28</v>
      </c>
      <c r="F20" s="16" t="str">
        <f>IFERROR(VLOOKUP(WEkEO[[#This Row],['#]],Table5[[current WEkEO dataset]:[Proposed new WEkEO Collection ID]],3,FALSE),"-") &amp; " / " &amp; IFERROR(VLOOKUP(WEkEO[[#This Row],['#]],Table5[[current WEkEO dataset]:[Proposed new WEkEO Collection ID]],6,FALSE),"-")</f>
        <v>- / -</v>
      </c>
      <c r="G20" s="16" t="str">
        <f>IFERROR(VLOOKUP(WEkEO[[#This Row],['#]],Table5[[current WEkEO dataset]:[Proposed new WEkEO Collection ID]],8,FALSE),"-")</f>
        <v>-</v>
      </c>
      <c r="H20" s="1" t="s">
        <v>22</v>
      </c>
    </row>
    <row r="21" spans="1:8">
      <c r="A21" s="1">
        <f t="shared" si="0"/>
        <v>20</v>
      </c>
      <c r="B21" s="1" t="s">
        <v>31</v>
      </c>
      <c r="C21" s="1" t="s">
        <v>33</v>
      </c>
      <c r="D21" s="2" t="s">
        <v>20</v>
      </c>
      <c r="E21" s="8" t="s">
        <v>28</v>
      </c>
      <c r="F21" s="16" t="str">
        <f>IFERROR(VLOOKUP(WEkEO[[#This Row],['#]],Table5[[current WEkEO dataset]:[Proposed new WEkEO Collection ID]],3,FALSE),"-") &amp; " / " &amp; IFERROR(VLOOKUP(WEkEO[[#This Row],['#]],Table5[[current WEkEO dataset]:[Proposed new WEkEO Collection ID]],6,FALSE),"-")</f>
        <v>- / -</v>
      </c>
      <c r="G21" s="16" t="str">
        <f>IFERROR(VLOOKUP(WEkEO[[#This Row],['#]],Table5[[current WEkEO dataset]:[Proposed new WEkEO Collection ID]],8,FALSE),"-")</f>
        <v>-</v>
      </c>
      <c r="H21" s="1" t="s">
        <v>22</v>
      </c>
    </row>
    <row r="22" spans="1:8">
      <c r="A22" s="1">
        <f t="shared" si="0"/>
        <v>21</v>
      </c>
      <c r="B22" s="1" t="s">
        <v>31</v>
      </c>
      <c r="C22" s="1" t="s">
        <v>34</v>
      </c>
      <c r="D22" s="2" t="s">
        <v>20</v>
      </c>
      <c r="E22" s="8" t="s">
        <v>28</v>
      </c>
      <c r="F22" s="16" t="str">
        <f>IFERROR(VLOOKUP(WEkEO[[#This Row],['#]],Table5[[current WEkEO dataset]:[Proposed new WEkEO Collection ID]],3,FALSE),"-") &amp; " / " &amp; IFERROR(VLOOKUP(WEkEO[[#This Row],['#]],Table5[[current WEkEO dataset]:[Proposed new WEkEO Collection ID]],6,FALSE),"-")</f>
        <v>- / -</v>
      </c>
      <c r="G22" s="16" t="str">
        <f>IFERROR(VLOOKUP(WEkEO[[#This Row],['#]],Table5[[current WEkEO dataset]:[Proposed new WEkEO Collection ID]],8,FALSE),"-")</f>
        <v>-</v>
      </c>
      <c r="H22" s="1" t="s">
        <v>22</v>
      </c>
    </row>
    <row r="23" spans="1:8">
      <c r="A23" s="1">
        <f t="shared" si="0"/>
        <v>22</v>
      </c>
      <c r="B23" s="1" t="s">
        <v>31</v>
      </c>
      <c r="C23" s="1" t="s">
        <v>35</v>
      </c>
      <c r="D23" s="2" t="s">
        <v>20</v>
      </c>
      <c r="E23" s="8" t="s">
        <v>28</v>
      </c>
      <c r="F23" s="16" t="str">
        <f>IFERROR(VLOOKUP(WEkEO[[#This Row],['#]],Table5[[current WEkEO dataset]:[Proposed new WEkEO Collection ID]],3,FALSE),"-") &amp; " / " &amp; IFERROR(VLOOKUP(WEkEO[[#This Row],['#]],Table5[[current WEkEO dataset]:[Proposed new WEkEO Collection ID]],6,FALSE),"-")</f>
        <v>- / -</v>
      </c>
      <c r="G23" s="16" t="str">
        <f>IFERROR(VLOOKUP(WEkEO[[#This Row],['#]],Table5[[current WEkEO dataset]:[Proposed new WEkEO Collection ID]],8,FALSE),"-")</f>
        <v>-</v>
      </c>
      <c r="H23" s="1" t="s">
        <v>22</v>
      </c>
    </row>
    <row r="24" spans="1:8">
      <c r="A24" s="1">
        <f t="shared" si="0"/>
        <v>23</v>
      </c>
      <c r="B24" s="1" t="s">
        <v>31</v>
      </c>
      <c r="C24" s="1" t="s">
        <v>29</v>
      </c>
      <c r="D24" s="2" t="s">
        <v>20</v>
      </c>
      <c r="E24" s="8" t="s">
        <v>28</v>
      </c>
      <c r="F24" s="16" t="str">
        <f>IFERROR(VLOOKUP(WEkEO[[#This Row],['#]],Table5[[current WEkEO dataset]:[Proposed new WEkEO Collection ID]],3,FALSE),"-") &amp; " / " &amp; IFERROR(VLOOKUP(WEkEO[[#This Row],['#]],Table5[[current WEkEO dataset]:[Proposed new WEkEO Collection ID]],6,FALSE),"-")</f>
        <v>- / -</v>
      </c>
      <c r="G24" s="16" t="str">
        <f>IFERROR(VLOOKUP(WEkEO[[#This Row],['#]],Table5[[current WEkEO dataset]:[Proposed new WEkEO Collection ID]],8,FALSE),"-")</f>
        <v>-</v>
      </c>
      <c r="H24" s="1" t="s">
        <v>22</v>
      </c>
    </row>
    <row r="25" spans="1:8">
      <c r="A25" s="1">
        <f t="shared" si="0"/>
        <v>24</v>
      </c>
      <c r="B25" s="1" t="s">
        <v>31</v>
      </c>
      <c r="C25" s="1" t="s">
        <v>36</v>
      </c>
      <c r="D25" s="2" t="s">
        <v>20</v>
      </c>
      <c r="E25" s="8" t="s">
        <v>28</v>
      </c>
      <c r="F25" s="16" t="str">
        <f>IFERROR(VLOOKUP(WEkEO[[#This Row],['#]],Table5[[current WEkEO dataset]:[Proposed new WEkEO Collection ID]],3,FALSE),"-") &amp; " / " &amp; IFERROR(VLOOKUP(WEkEO[[#This Row],['#]],Table5[[current WEkEO dataset]:[Proposed new WEkEO Collection ID]],6,FALSE),"-")</f>
        <v>- / -</v>
      </c>
      <c r="G25" s="16" t="str">
        <f>IFERROR(VLOOKUP(WEkEO[[#This Row],['#]],Table5[[current WEkEO dataset]:[Proposed new WEkEO Collection ID]],8,FALSE),"-")</f>
        <v>-</v>
      </c>
      <c r="H25" s="1" t="s">
        <v>22</v>
      </c>
    </row>
    <row r="26" spans="1:8">
      <c r="A26" s="1">
        <f t="shared" si="0"/>
        <v>25</v>
      </c>
      <c r="B26" s="1" t="s">
        <v>31</v>
      </c>
      <c r="C26" s="1" t="s">
        <v>37</v>
      </c>
      <c r="D26" s="2" t="s">
        <v>20</v>
      </c>
      <c r="E26" s="8" t="s">
        <v>28</v>
      </c>
      <c r="F26" s="16" t="str">
        <f>IFERROR(VLOOKUP(WEkEO[[#This Row],['#]],Table5[[current WEkEO dataset]:[Proposed new WEkEO Collection ID]],3,FALSE),"-") &amp; " / " &amp; IFERROR(VLOOKUP(WEkEO[[#This Row],['#]],Table5[[current WEkEO dataset]:[Proposed new WEkEO Collection ID]],6,FALSE),"-")</f>
        <v>- / -</v>
      </c>
      <c r="G26" s="16" t="str">
        <f>IFERROR(VLOOKUP(WEkEO[[#This Row],['#]],Table5[[current WEkEO dataset]:[Proposed new WEkEO Collection ID]],8,FALSE),"-")</f>
        <v>-</v>
      </c>
      <c r="H26" s="1" t="s">
        <v>22</v>
      </c>
    </row>
    <row r="27" spans="1:8">
      <c r="A27" s="1">
        <f t="shared" si="0"/>
        <v>26</v>
      </c>
      <c r="B27" s="1" t="s">
        <v>31</v>
      </c>
      <c r="C27" s="1" t="s">
        <v>38</v>
      </c>
      <c r="D27" s="2" t="s">
        <v>20</v>
      </c>
      <c r="E27" s="8" t="s">
        <v>28</v>
      </c>
      <c r="F27" s="16" t="str">
        <f>IFERROR(VLOOKUP(WEkEO[[#This Row],['#]],Table5[[current WEkEO dataset]:[Proposed new WEkEO Collection ID]],3,FALSE),"-") &amp; " / " &amp; IFERROR(VLOOKUP(WEkEO[[#This Row],['#]],Table5[[current WEkEO dataset]:[Proposed new WEkEO Collection ID]],6,FALSE),"-")</f>
        <v>- / -</v>
      </c>
      <c r="G27" s="16" t="str">
        <f>IFERROR(VLOOKUP(WEkEO[[#This Row],['#]],Table5[[current WEkEO dataset]:[Proposed new WEkEO Collection ID]],8,FALSE),"-")</f>
        <v>-</v>
      </c>
      <c r="H27" s="1" t="s">
        <v>22</v>
      </c>
    </row>
    <row r="28" spans="1:8">
      <c r="A28" s="1">
        <f t="shared" si="0"/>
        <v>27</v>
      </c>
      <c r="B28" s="1" t="s">
        <v>31</v>
      </c>
      <c r="C28" s="1" t="s">
        <v>39</v>
      </c>
      <c r="D28" s="2" t="s">
        <v>20</v>
      </c>
      <c r="E28" s="8" t="s">
        <v>28</v>
      </c>
      <c r="F28" s="16" t="str">
        <f>IFERROR(VLOOKUP(WEkEO[[#This Row],['#]],Table5[[current WEkEO dataset]:[Proposed new WEkEO Collection ID]],3,FALSE),"-") &amp; " / " &amp; IFERROR(VLOOKUP(WEkEO[[#This Row],['#]],Table5[[current WEkEO dataset]:[Proposed new WEkEO Collection ID]],6,FALSE),"-")</f>
        <v>- / -</v>
      </c>
      <c r="G28" s="16" t="str">
        <f>IFERROR(VLOOKUP(WEkEO[[#This Row],['#]],Table5[[current WEkEO dataset]:[Proposed new WEkEO Collection ID]],8,FALSE),"-")</f>
        <v>-</v>
      </c>
      <c r="H28" s="1" t="s">
        <v>22</v>
      </c>
    </row>
    <row r="29" spans="1:8">
      <c r="A29" s="1">
        <f t="shared" si="0"/>
        <v>28</v>
      </c>
      <c r="B29" s="1" t="s">
        <v>31</v>
      </c>
      <c r="C29" s="1" t="s">
        <v>40</v>
      </c>
      <c r="D29" s="2" t="s">
        <v>20</v>
      </c>
      <c r="E29" s="8" t="s">
        <v>28</v>
      </c>
      <c r="F29" s="16" t="str">
        <f>IFERROR(VLOOKUP(WEkEO[[#This Row],['#]],Table5[[current WEkEO dataset]:[Proposed new WEkEO Collection ID]],3,FALSE),"-") &amp; " / " &amp; IFERROR(VLOOKUP(WEkEO[[#This Row],['#]],Table5[[current WEkEO dataset]:[Proposed new WEkEO Collection ID]],6,FALSE),"-")</f>
        <v>- / -</v>
      </c>
      <c r="G29" s="16" t="str">
        <f>IFERROR(VLOOKUP(WEkEO[[#This Row],['#]],Table5[[current WEkEO dataset]:[Proposed new WEkEO Collection ID]],8,FALSE),"-")</f>
        <v>-</v>
      </c>
      <c r="H29" s="1" t="s">
        <v>22</v>
      </c>
    </row>
    <row r="30" spans="1:8">
      <c r="A30" s="1">
        <f t="shared" si="0"/>
        <v>29</v>
      </c>
      <c r="B30" s="1" t="s">
        <v>31</v>
      </c>
      <c r="C30" s="1" t="s">
        <v>41</v>
      </c>
      <c r="D30" s="2" t="s">
        <v>20</v>
      </c>
      <c r="E30" s="8" t="s">
        <v>28</v>
      </c>
      <c r="F30" s="16" t="str">
        <f>IFERROR(VLOOKUP(WEkEO[[#This Row],['#]],Table5[[current WEkEO dataset]:[Proposed new WEkEO Collection ID]],3,FALSE),"-") &amp; " / " &amp; IFERROR(VLOOKUP(WEkEO[[#This Row],['#]],Table5[[current WEkEO dataset]:[Proposed new WEkEO Collection ID]],6,FALSE),"-")</f>
        <v>- / -</v>
      </c>
      <c r="G30" s="16" t="str">
        <f>IFERROR(VLOOKUP(WEkEO[[#This Row],['#]],Table5[[current WEkEO dataset]:[Proposed new WEkEO Collection ID]],8,FALSE),"-")</f>
        <v>-</v>
      </c>
      <c r="H30" s="1" t="s">
        <v>22</v>
      </c>
    </row>
    <row r="31" spans="1:8">
      <c r="A31" s="1">
        <f t="shared" si="0"/>
        <v>30</v>
      </c>
      <c r="B31" s="1" t="s">
        <v>31</v>
      </c>
      <c r="C31" s="1" t="s">
        <v>42</v>
      </c>
      <c r="D31" s="2" t="s">
        <v>20</v>
      </c>
      <c r="E31" s="8" t="s">
        <v>28</v>
      </c>
      <c r="F31" s="16" t="str">
        <f>IFERROR(VLOOKUP(WEkEO[[#This Row],['#]],Table5[[current WEkEO dataset]:[Proposed new WEkEO Collection ID]],3,FALSE),"-") &amp; " / " &amp; IFERROR(VLOOKUP(WEkEO[[#This Row],['#]],Table5[[current WEkEO dataset]:[Proposed new WEkEO Collection ID]],6,FALSE),"-")</f>
        <v>- / -</v>
      </c>
      <c r="G31" s="16" t="str">
        <f>IFERROR(VLOOKUP(WEkEO[[#This Row],['#]],Table5[[current WEkEO dataset]:[Proposed new WEkEO Collection ID]],8,FALSE),"-")</f>
        <v>-</v>
      </c>
      <c r="H31" s="1" t="s">
        <v>22</v>
      </c>
    </row>
    <row r="32" spans="1:8">
      <c r="A32" s="1">
        <f t="shared" si="0"/>
        <v>31</v>
      </c>
      <c r="B32" s="1" t="s">
        <v>31</v>
      </c>
      <c r="C32" s="1" t="s">
        <v>43</v>
      </c>
      <c r="D32" s="2" t="s">
        <v>20</v>
      </c>
      <c r="E32" s="8" t="s">
        <v>28</v>
      </c>
      <c r="F32" s="16" t="str">
        <f>IFERROR(VLOOKUP(WEkEO[[#This Row],['#]],Table5[[current WEkEO dataset]:[Proposed new WEkEO Collection ID]],3,FALSE),"-") &amp; " / " &amp; IFERROR(VLOOKUP(WEkEO[[#This Row],['#]],Table5[[current WEkEO dataset]:[Proposed new WEkEO Collection ID]],6,FALSE),"-")</f>
        <v>- / -</v>
      </c>
      <c r="G32" s="16" t="str">
        <f>IFERROR(VLOOKUP(WEkEO[[#This Row],['#]],Table5[[current WEkEO dataset]:[Proposed new WEkEO Collection ID]],8,FALSE),"-")</f>
        <v>-</v>
      </c>
      <c r="H32" s="1" t="s">
        <v>22</v>
      </c>
    </row>
    <row r="33" spans="1:8">
      <c r="A33" s="1">
        <f t="shared" si="0"/>
        <v>32</v>
      </c>
      <c r="B33" s="1" t="s">
        <v>31</v>
      </c>
      <c r="C33" s="1" t="s">
        <v>44</v>
      </c>
      <c r="D33" s="2" t="s">
        <v>20</v>
      </c>
      <c r="E33" s="8" t="s">
        <v>28</v>
      </c>
      <c r="F33" s="16" t="str">
        <f>IFERROR(VLOOKUP(WEkEO[[#This Row],['#]],Table5[[current WEkEO dataset]:[Proposed new WEkEO Collection ID]],3,FALSE),"-") &amp; " / " &amp; IFERROR(VLOOKUP(WEkEO[[#This Row],['#]],Table5[[current WEkEO dataset]:[Proposed new WEkEO Collection ID]],6,FALSE),"-")</f>
        <v>- / -</v>
      </c>
      <c r="G33" s="16" t="str">
        <f>IFERROR(VLOOKUP(WEkEO[[#This Row],['#]],Table5[[current WEkEO dataset]:[Proposed new WEkEO Collection ID]],8,FALSE),"-")</f>
        <v>-</v>
      </c>
      <c r="H33" s="1" t="s">
        <v>22</v>
      </c>
    </row>
    <row r="34" spans="1:8">
      <c r="A34" s="1">
        <f t="shared" si="0"/>
        <v>33</v>
      </c>
      <c r="B34" s="1" t="s">
        <v>45</v>
      </c>
      <c r="C34" s="1" t="s">
        <v>32</v>
      </c>
      <c r="D34" s="2" t="s">
        <v>20</v>
      </c>
      <c r="E34" s="8" t="s">
        <v>28</v>
      </c>
      <c r="F34" s="16" t="str">
        <f>IFERROR(VLOOKUP(WEkEO[[#This Row],['#]],Table5[[current WEkEO dataset]:[Proposed new WEkEO Collection ID]],3,FALSE),"-") &amp; " / " &amp; IFERROR(VLOOKUP(WEkEO[[#This Row],['#]],Table5[[current WEkEO dataset]:[Proposed new WEkEO Collection ID]],6,FALSE),"-")</f>
        <v>- / -</v>
      </c>
      <c r="G34" s="16" t="str">
        <f>IFERROR(VLOOKUP(WEkEO[[#This Row],['#]],Table5[[current WEkEO dataset]:[Proposed new WEkEO Collection ID]],8,FALSE),"-")</f>
        <v>-</v>
      </c>
      <c r="H34" s="1" t="s">
        <v>22</v>
      </c>
    </row>
    <row r="35" spans="1:8">
      <c r="A35" s="1">
        <f t="shared" si="0"/>
        <v>34</v>
      </c>
      <c r="B35" s="1" t="s">
        <v>45</v>
      </c>
      <c r="C35" s="1" t="s">
        <v>33</v>
      </c>
      <c r="D35" s="2" t="s">
        <v>20</v>
      </c>
      <c r="E35" s="8" t="s">
        <v>28</v>
      </c>
      <c r="F35" s="16" t="str">
        <f>IFERROR(VLOOKUP(WEkEO[[#This Row],['#]],Table5[[current WEkEO dataset]:[Proposed new WEkEO Collection ID]],3,FALSE),"-") &amp; " / " &amp; IFERROR(VLOOKUP(WEkEO[[#This Row],['#]],Table5[[current WEkEO dataset]:[Proposed new WEkEO Collection ID]],6,FALSE),"-")</f>
        <v>- / -</v>
      </c>
      <c r="G35" s="16" t="str">
        <f>IFERROR(VLOOKUP(WEkEO[[#This Row],['#]],Table5[[current WEkEO dataset]:[Proposed new WEkEO Collection ID]],8,FALSE),"-")</f>
        <v>-</v>
      </c>
      <c r="H35" s="1" t="s">
        <v>22</v>
      </c>
    </row>
    <row r="36" spans="1:8">
      <c r="A36" s="1">
        <f t="shared" si="0"/>
        <v>35</v>
      </c>
      <c r="B36" s="1" t="s">
        <v>45</v>
      </c>
      <c r="C36" s="1" t="s">
        <v>34</v>
      </c>
      <c r="D36" s="2" t="s">
        <v>20</v>
      </c>
      <c r="E36" s="8" t="s">
        <v>28</v>
      </c>
      <c r="F36" s="16" t="str">
        <f>IFERROR(VLOOKUP(WEkEO[[#This Row],['#]],Table5[[current WEkEO dataset]:[Proposed new WEkEO Collection ID]],3,FALSE),"-") &amp; " / " &amp; IFERROR(VLOOKUP(WEkEO[[#This Row],['#]],Table5[[current WEkEO dataset]:[Proposed new WEkEO Collection ID]],6,FALSE),"-")</f>
        <v>- / -</v>
      </c>
      <c r="G36" s="16" t="str">
        <f>IFERROR(VLOOKUP(WEkEO[[#This Row],['#]],Table5[[current WEkEO dataset]:[Proposed new WEkEO Collection ID]],8,FALSE),"-")</f>
        <v>-</v>
      </c>
      <c r="H36" s="1" t="s">
        <v>22</v>
      </c>
    </row>
    <row r="37" spans="1:8">
      <c r="A37" s="1">
        <f t="shared" si="0"/>
        <v>36</v>
      </c>
      <c r="B37" s="1" t="s">
        <v>45</v>
      </c>
      <c r="C37" s="1" t="s">
        <v>35</v>
      </c>
      <c r="D37" s="2" t="s">
        <v>20</v>
      </c>
      <c r="E37" s="8" t="s">
        <v>28</v>
      </c>
      <c r="F37" s="16" t="str">
        <f>IFERROR(VLOOKUP(WEkEO[[#This Row],['#]],Table5[[current WEkEO dataset]:[Proposed new WEkEO Collection ID]],3,FALSE),"-") &amp; " / " &amp; IFERROR(VLOOKUP(WEkEO[[#This Row],['#]],Table5[[current WEkEO dataset]:[Proposed new WEkEO Collection ID]],6,FALSE),"-")</f>
        <v>- / -</v>
      </c>
      <c r="G37" s="16" t="str">
        <f>IFERROR(VLOOKUP(WEkEO[[#This Row],['#]],Table5[[current WEkEO dataset]:[Proposed new WEkEO Collection ID]],8,FALSE),"-")</f>
        <v>-</v>
      </c>
      <c r="H37" s="1" t="s">
        <v>22</v>
      </c>
    </row>
    <row r="38" spans="1:8">
      <c r="A38" s="1">
        <f t="shared" si="0"/>
        <v>37</v>
      </c>
      <c r="B38" s="1" t="s">
        <v>45</v>
      </c>
      <c r="C38" s="1" t="s">
        <v>29</v>
      </c>
      <c r="D38" s="2" t="s">
        <v>20</v>
      </c>
      <c r="E38" s="8" t="s">
        <v>28</v>
      </c>
      <c r="F38" s="16" t="str">
        <f>IFERROR(VLOOKUP(WEkEO[[#This Row],['#]],Table5[[current WEkEO dataset]:[Proposed new WEkEO Collection ID]],3,FALSE),"-") &amp; " / " &amp; IFERROR(VLOOKUP(WEkEO[[#This Row],['#]],Table5[[current WEkEO dataset]:[Proposed new WEkEO Collection ID]],6,FALSE),"-")</f>
        <v>- / -</v>
      </c>
      <c r="G38" s="16" t="str">
        <f>IFERROR(VLOOKUP(WEkEO[[#This Row],['#]],Table5[[current WEkEO dataset]:[Proposed new WEkEO Collection ID]],8,FALSE),"-")</f>
        <v>-</v>
      </c>
      <c r="H38" s="1" t="s">
        <v>22</v>
      </c>
    </row>
    <row r="39" spans="1:8">
      <c r="A39" s="1">
        <f t="shared" si="0"/>
        <v>38</v>
      </c>
      <c r="B39" s="1" t="s">
        <v>45</v>
      </c>
      <c r="C39" s="1" t="s">
        <v>36</v>
      </c>
      <c r="D39" s="2" t="s">
        <v>20</v>
      </c>
      <c r="E39" s="8" t="s">
        <v>28</v>
      </c>
      <c r="F39" s="16" t="str">
        <f>IFERROR(VLOOKUP(WEkEO[[#This Row],['#]],Table5[[current WEkEO dataset]:[Proposed new WEkEO Collection ID]],3,FALSE),"-") &amp; " / " &amp; IFERROR(VLOOKUP(WEkEO[[#This Row],['#]],Table5[[current WEkEO dataset]:[Proposed new WEkEO Collection ID]],6,FALSE),"-")</f>
        <v>- / -</v>
      </c>
      <c r="G39" s="16" t="str">
        <f>IFERROR(VLOOKUP(WEkEO[[#This Row],['#]],Table5[[current WEkEO dataset]:[Proposed new WEkEO Collection ID]],8,FALSE),"-")</f>
        <v>-</v>
      </c>
      <c r="H39" s="1" t="s">
        <v>22</v>
      </c>
    </row>
    <row r="40" spans="1:8">
      <c r="A40" s="1">
        <f t="shared" si="0"/>
        <v>39</v>
      </c>
      <c r="B40" s="1" t="s">
        <v>45</v>
      </c>
      <c r="C40" s="1" t="s">
        <v>37</v>
      </c>
      <c r="D40" s="2" t="s">
        <v>20</v>
      </c>
      <c r="E40" s="8" t="s">
        <v>28</v>
      </c>
      <c r="F40" s="16" t="str">
        <f>IFERROR(VLOOKUP(WEkEO[[#This Row],['#]],Table5[[current WEkEO dataset]:[Proposed new WEkEO Collection ID]],3,FALSE),"-") &amp; " / " &amp; IFERROR(VLOOKUP(WEkEO[[#This Row],['#]],Table5[[current WEkEO dataset]:[Proposed new WEkEO Collection ID]],6,FALSE),"-")</f>
        <v>- / -</v>
      </c>
      <c r="G40" s="16" t="str">
        <f>IFERROR(VLOOKUP(WEkEO[[#This Row],['#]],Table5[[current WEkEO dataset]:[Proposed new WEkEO Collection ID]],8,FALSE),"-")</f>
        <v>-</v>
      </c>
      <c r="H40" s="1" t="s">
        <v>22</v>
      </c>
    </row>
    <row r="41" spans="1:8">
      <c r="A41" s="1">
        <f t="shared" si="0"/>
        <v>40</v>
      </c>
      <c r="B41" s="1" t="s">
        <v>45</v>
      </c>
      <c r="C41" s="1" t="s">
        <v>38</v>
      </c>
      <c r="D41" s="2" t="s">
        <v>20</v>
      </c>
      <c r="E41" s="8" t="s">
        <v>28</v>
      </c>
      <c r="F41" s="16" t="str">
        <f>IFERROR(VLOOKUP(WEkEO[[#This Row],['#]],Table5[[current WEkEO dataset]:[Proposed new WEkEO Collection ID]],3,FALSE),"-") &amp; " / " &amp; IFERROR(VLOOKUP(WEkEO[[#This Row],['#]],Table5[[current WEkEO dataset]:[Proposed new WEkEO Collection ID]],6,FALSE),"-")</f>
        <v>- / -</v>
      </c>
      <c r="G41" s="16" t="str">
        <f>IFERROR(VLOOKUP(WEkEO[[#This Row],['#]],Table5[[current WEkEO dataset]:[Proposed new WEkEO Collection ID]],8,FALSE),"-")</f>
        <v>-</v>
      </c>
      <c r="H41" s="1" t="s">
        <v>22</v>
      </c>
    </row>
    <row r="42" spans="1:8">
      <c r="A42" s="1">
        <f t="shared" si="0"/>
        <v>41</v>
      </c>
      <c r="B42" s="1" t="s">
        <v>45</v>
      </c>
      <c r="C42" s="1" t="s">
        <v>39</v>
      </c>
      <c r="D42" s="2" t="s">
        <v>20</v>
      </c>
      <c r="E42" s="8" t="s">
        <v>28</v>
      </c>
      <c r="F42" s="16" t="str">
        <f>IFERROR(VLOOKUP(WEkEO[[#This Row],['#]],Table5[[current WEkEO dataset]:[Proposed new WEkEO Collection ID]],3,FALSE),"-") &amp; " / " &amp; IFERROR(VLOOKUP(WEkEO[[#This Row],['#]],Table5[[current WEkEO dataset]:[Proposed new WEkEO Collection ID]],6,FALSE),"-")</f>
        <v>- / -</v>
      </c>
      <c r="G42" s="16" t="str">
        <f>IFERROR(VLOOKUP(WEkEO[[#This Row],['#]],Table5[[current WEkEO dataset]:[Proposed new WEkEO Collection ID]],8,FALSE),"-")</f>
        <v>-</v>
      </c>
      <c r="H42" s="1" t="s">
        <v>22</v>
      </c>
    </row>
    <row r="43" spans="1:8">
      <c r="A43" s="1">
        <f t="shared" si="0"/>
        <v>42</v>
      </c>
      <c r="B43" s="1" t="s">
        <v>45</v>
      </c>
      <c r="C43" s="1" t="s">
        <v>40</v>
      </c>
      <c r="D43" s="2" t="s">
        <v>20</v>
      </c>
      <c r="E43" s="8" t="s">
        <v>28</v>
      </c>
      <c r="F43" s="16" t="str">
        <f>IFERROR(VLOOKUP(WEkEO[[#This Row],['#]],Table5[[current WEkEO dataset]:[Proposed new WEkEO Collection ID]],3,FALSE),"-") &amp; " / " &amp; IFERROR(VLOOKUP(WEkEO[[#This Row],['#]],Table5[[current WEkEO dataset]:[Proposed new WEkEO Collection ID]],6,FALSE),"-")</f>
        <v>- / -</v>
      </c>
      <c r="G43" s="16" t="str">
        <f>IFERROR(VLOOKUP(WEkEO[[#This Row],['#]],Table5[[current WEkEO dataset]:[Proposed new WEkEO Collection ID]],8,FALSE),"-")</f>
        <v>-</v>
      </c>
      <c r="H43" s="1" t="s">
        <v>22</v>
      </c>
    </row>
    <row r="44" spans="1:8">
      <c r="A44" s="1">
        <f t="shared" si="0"/>
        <v>43</v>
      </c>
      <c r="B44" s="1" t="s">
        <v>45</v>
      </c>
      <c r="C44" s="1" t="s">
        <v>41</v>
      </c>
      <c r="D44" s="2" t="s">
        <v>20</v>
      </c>
      <c r="E44" s="8" t="s">
        <v>28</v>
      </c>
      <c r="F44" s="16" t="str">
        <f>IFERROR(VLOOKUP(WEkEO[[#This Row],['#]],Table5[[current WEkEO dataset]:[Proposed new WEkEO Collection ID]],3,FALSE),"-") &amp; " / " &amp; IFERROR(VLOOKUP(WEkEO[[#This Row],['#]],Table5[[current WEkEO dataset]:[Proposed new WEkEO Collection ID]],6,FALSE),"-")</f>
        <v>- / -</v>
      </c>
      <c r="G44" s="16" t="str">
        <f>IFERROR(VLOOKUP(WEkEO[[#This Row],['#]],Table5[[current WEkEO dataset]:[Proposed new WEkEO Collection ID]],8,FALSE),"-")</f>
        <v>-</v>
      </c>
      <c r="H44" s="1" t="s">
        <v>22</v>
      </c>
    </row>
    <row r="45" spans="1:8">
      <c r="A45" s="1">
        <f t="shared" si="0"/>
        <v>44</v>
      </c>
      <c r="B45" s="1" t="s">
        <v>45</v>
      </c>
      <c r="C45" s="1" t="s">
        <v>42</v>
      </c>
      <c r="D45" s="2" t="s">
        <v>20</v>
      </c>
      <c r="E45" s="8" t="s">
        <v>28</v>
      </c>
      <c r="F45" s="16" t="str">
        <f>IFERROR(VLOOKUP(WEkEO[[#This Row],['#]],Table5[[current WEkEO dataset]:[Proposed new WEkEO Collection ID]],3,FALSE),"-") &amp; " / " &amp; IFERROR(VLOOKUP(WEkEO[[#This Row],['#]],Table5[[current WEkEO dataset]:[Proposed new WEkEO Collection ID]],6,FALSE),"-")</f>
        <v>- / -</v>
      </c>
      <c r="G45" s="16" t="str">
        <f>IFERROR(VLOOKUP(WEkEO[[#This Row],['#]],Table5[[current WEkEO dataset]:[Proposed new WEkEO Collection ID]],8,FALSE),"-")</f>
        <v>-</v>
      </c>
      <c r="H45" s="1" t="s">
        <v>22</v>
      </c>
    </row>
    <row r="46" spans="1:8">
      <c r="A46" s="1">
        <f t="shared" si="0"/>
        <v>45</v>
      </c>
      <c r="B46" s="1" t="s">
        <v>45</v>
      </c>
      <c r="C46" s="1" t="s">
        <v>43</v>
      </c>
      <c r="D46" s="2" t="s">
        <v>20</v>
      </c>
      <c r="E46" s="8" t="s">
        <v>28</v>
      </c>
      <c r="F46" s="16" t="str">
        <f>IFERROR(VLOOKUP(WEkEO[[#This Row],['#]],Table5[[current WEkEO dataset]:[Proposed new WEkEO Collection ID]],3,FALSE),"-") &amp; " / " &amp; IFERROR(VLOOKUP(WEkEO[[#This Row],['#]],Table5[[current WEkEO dataset]:[Proposed new WEkEO Collection ID]],6,FALSE),"-")</f>
        <v>- / -</v>
      </c>
      <c r="G46" s="16" t="str">
        <f>IFERROR(VLOOKUP(WEkEO[[#This Row],['#]],Table5[[current WEkEO dataset]:[Proposed new WEkEO Collection ID]],8,FALSE),"-")</f>
        <v>-</v>
      </c>
      <c r="H46" s="1" t="s">
        <v>22</v>
      </c>
    </row>
    <row r="47" spans="1:8">
      <c r="A47" s="1">
        <f t="shared" si="0"/>
        <v>46</v>
      </c>
      <c r="B47" s="1" t="s">
        <v>45</v>
      </c>
      <c r="C47" s="1" t="s">
        <v>44</v>
      </c>
      <c r="D47" s="2" t="s">
        <v>20</v>
      </c>
      <c r="E47" s="8" t="s">
        <v>28</v>
      </c>
      <c r="F47" s="16" t="str">
        <f>IFERROR(VLOOKUP(WEkEO[[#This Row],['#]],Table5[[current WEkEO dataset]:[Proposed new WEkEO Collection ID]],3,FALSE),"-") &amp; " / " &amp; IFERROR(VLOOKUP(WEkEO[[#This Row],['#]],Table5[[current WEkEO dataset]:[Proposed new WEkEO Collection ID]],6,FALSE),"-")</f>
        <v>- / -</v>
      </c>
      <c r="G47" s="16" t="str">
        <f>IFERROR(VLOOKUP(WEkEO[[#This Row],['#]],Table5[[current WEkEO dataset]:[Proposed new WEkEO Collection ID]],8,FALSE),"-")</f>
        <v>-</v>
      </c>
      <c r="H47" s="1" t="s">
        <v>22</v>
      </c>
    </row>
    <row r="48" spans="1:8">
      <c r="A48" s="1">
        <f t="shared" si="0"/>
        <v>47</v>
      </c>
      <c r="B48" s="1" t="s">
        <v>46</v>
      </c>
      <c r="C48" s="1" t="s">
        <v>47</v>
      </c>
      <c r="E48" s="8" t="s">
        <v>9</v>
      </c>
      <c r="F48" s="16" t="str">
        <f>IFERROR(VLOOKUP(WEkEO[[#This Row],['#]],Table5[[current WEkEO dataset]:[Proposed new WEkEO Collection ID]],3,FALSE),"-") &amp; " / " &amp; IFERROR(VLOOKUP(WEkEO[[#This Row],['#]],Table5[[current WEkEO dataset]:[Proposed new WEkEO Collection ID]],6,FALSE),"-")</f>
        <v>- / -</v>
      </c>
      <c r="G48" s="16" t="str">
        <f>IFERROR(VLOOKUP(WEkEO[[#This Row],['#]],Table5[[current WEkEO dataset]:[Proposed new WEkEO Collection ID]],8,FALSE),"-")</f>
        <v>-</v>
      </c>
      <c r="H48" s="1" t="s">
        <v>21</v>
      </c>
    </row>
    <row r="49" spans="1:8">
      <c r="A49" s="1">
        <f t="shared" si="0"/>
        <v>48</v>
      </c>
      <c r="B49" s="1" t="s">
        <v>46</v>
      </c>
      <c r="C49" s="1" t="s">
        <v>48</v>
      </c>
      <c r="E49" s="8" t="s">
        <v>9</v>
      </c>
      <c r="F49" s="16" t="str">
        <f>IFERROR(VLOOKUP(WEkEO[[#This Row],['#]],Table5[[current WEkEO dataset]:[Proposed new WEkEO Collection ID]],3,FALSE),"-") &amp; " / " &amp; IFERROR(VLOOKUP(WEkEO[[#This Row],['#]],Table5[[current WEkEO dataset]:[Proposed new WEkEO Collection ID]],6,FALSE),"-")</f>
        <v>- / -</v>
      </c>
      <c r="G49" s="16" t="str">
        <f>IFERROR(VLOOKUP(WEkEO[[#This Row],['#]],Table5[[current WEkEO dataset]:[Proposed new WEkEO Collection ID]],8,FALSE),"-")</f>
        <v>-</v>
      </c>
      <c r="H49" s="1" t="s">
        <v>21</v>
      </c>
    </row>
    <row r="50" spans="1:8">
      <c r="A50" s="1">
        <f t="shared" si="0"/>
        <v>49</v>
      </c>
      <c r="B50" s="1" t="s">
        <v>46</v>
      </c>
      <c r="C50" s="1" t="s">
        <v>49</v>
      </c>
      <c r="E50" s="8" t="s">
        <v>9</v>
      </c>
      <c r="F50" s="16" t="str">
        <f>IFERROR(VLOOKUP(WEkEO[[#This Row],['#]],Table5[[current WEkEO dataset]:[Proposed new WEkEO Collection ID]],3,FALSE),"-") &amp; " / " &amp; IFERROR(VLOOKUP(WEkEO[[#This Row],['#]],Table5[[current WEkEO dataset]:[Proposed new WEkEO Collection ID]],6,FALSE),"-")</f>
        <v>- / -</v>
      </c>
      <c r="G50" s="16" t="str">
        <f>IFERROR(VLOOKUP(WEkEO[[#This Row],['#]],Table5[[current WEkEO dataset]:[Proposed new WEkEO Collection ID]],8,FALSE),"-")</f>
        <v>-</v>
      </c>
      <c r="H50" s="1" t="s">
        <v>21</v>
      </c>
    </row>
    <row r="51" spans="1:8">
      <c r="A51" s="1">
        <f t="shared" si="0"/>
        <v>50</v>
      </c>
      <c r="B51" s="1" t="s">
        <v>50</v>
      </c>
      <c r="C51" s="1" t="s">
        <v>51</v>
      </c>
      <c r="E51" s="8" t="s">
        <v>9</v>
      </c>
      <c r="F51" s="16" t="str">
        <f>IFERROR(VLOOKUP(WEkEO[[#This Row],['#]],Table5[[current WEkEO dataset]:[Proposed new WEkEO Collection ID]],3,FALSE),"-") &amp; " / " &amp; IFERROR(VLOOKUP(WEkEO[[#This Row],['#]],Table5[[current WEkEO dataset]:[Proposed new WEkEO Collection ID]],6,FALSE),"-")</f>
        <v>- / -</v>
      </c>
      <c r="G51" s="16" t="str">
        <f>IFERROR(VLOOKUP(WEkEO[[#This Row],['#]],Table5[[current WEkEO dataset]:[Proposed new WEkEO Collection ID]],8,FALSE),"-")</f>
        <v>-</v>
      </c>
      <c r="H51" s="1" t="s">
        <v>21</v>
      </c>
    </row>
    <row r="52" spans="1:8">
      <c r="A52" s="1">
        <f t="shared" si="0"/>
        <v>51</v>
      </c>
      <c r="B52" s="1" t="s">
        <v>50</v>
      </c>
      <c r="C52" s="1" t="s">
        <v>52</v>
      </c>
      <c r="E52" s="8" t="s">
        <v>9</v>
      </c>
      <c r="F52" s="16" t="str">
        <f>IFERROR(VLOOKUP(WEkEO[[#This Row],['#]],Table5[[current WEkEO dataset]:[Proposed new WEkEO Collection ID]],3,FALSE),"-") &amp; " / " &amp; IFERROR(VLOOKUP(WEkEO[[#This Row],['#]],Table5[[current WEkEO dataset]:[Proposed new WEkEO Collection ID]],6,FALSE),"-")</f>
        <v>- / -</v>
      </c>
      <c r="G52" s="16" t="str">
        <f>IFERROR(VLOOKUP(WEkEO[[#This Row],['#]],Table5[[current WEkEO dataset]:[Proposed new WEkEO Collection ID]],8,FALSE),"-")</f>
        <v>-</v>
      </c>
      <c r="H52" s="1" t="s">
        <v>21</v>
      </c>
    </row>
    <row r="53" spans="1:8">
      <c r="A53" s="1">
        <f t="shared" si="0"/>
        <v>52</v>
      </c>
      <c r="B53" s="1" t="s">
        <v>50</v>
      </c>
      <c r="C53" s="1" t="s">
        <v>53</v>
      </c>
      <c r="E53" s="8" t="s">
        <v>9</v>
      </c>
      <c r="F53" s="16" t="str">
        <f>IFERROR(VLOOKUP(WEkEO[[#This Row],['#]],Table5[[current WEkEO dataset]:[Proposed new WEkEO Collection ID]],3,FALSE),"-") &amp; " / " &amp; IFERROR(VLOOKUP(WEkEO[[#This Row],['#]],Table5[[current WEkEO dataset]:[Proposed new WEkEO Collection ID]],6,FALSE),"-")</f>
        <v>- / -</v>
      </c>
      <c r="G53" s="16" t="str">
        <f>IFERROR(VLOOKUP(WEkEO[[#This Row],['#]],Table5[[current WEkEO dataset]:[Proposed new WEkEO Collection ID]],8,FALSE),"-")</f>
        <v>-</v>
      </c>
      <c r="H53" s="1" t="s">
        <v>21</v>
      </c>
    </row>
    <row r="54" spans="1:8">
      <c r="A54" s="1">
        <f t="shared" si="0"/>
        <v>53</v>
      </c>
      <c r="B54" s="1" t="s">
        <v>50</v>
      </c>
      <c r="C54" s="1" t="s">
        <v>54</v>
      </c>
      <c r="E54" s="8" t="s">
        <v>9</v>
      </c>
      <c r="F54" s="16" t="str">
        <f>IFERROR(VLOOKUP(WEkEO[[#This Row],['#]],Table5[[current WEkEO dataset]:[Proposed new WEkEO Collection ID]],3,FALSE),"-") &amp; " / " &amp; IFERROR(VLOOKUP(WEkEO[[#This Row],['#]],Table5[[current WEkEO dataset]:[Proposed new WEkEO Collection ID]],6,FALSE),"-")</f>
        <v>- / -</v>
      </c>
      <c r="G54" s="16" t="str">
        <f>IFERROR(VLOOKUP(WEkEO[[#This Row],['#]],Table5[[current WEkEO dataset]:[Proposed new WEkEO Collection ID]],8,FALSE),"-")</f>
        <v>-</v>
      </c>
      <c r="H54" s="1" t="s">
        <v>21</v>
      </c>
    </row>
    <row r="55" spans="1:8">
      <c r="A55" s="1">
        <f t="shared" si="0"/>
        <v>54</v>
      </c>
      <c r="B55" s="1" t="s">
        <v>50</v>
      </c>
      <c r="C55" s="1" t="s">
        <v>55</v>
      </c>
      <c r="E55" s="8" t="s">
        <v>9</v>
      </c>
      <c r="F55" s="16" t="str">
        <f>IFERROR(VLOOKUP(WEkEO[[#This Row],['#]],Table5[[current WEkEO dataset]:[Proposed new WEkEO Collection ID]],3,FALSE),"-") &amp; " / " &amp; IFERROR(VLOOKUP(WEkEO[[#This Row],['#]],Table5[[current WEkEO dataset]:[Proposed new WEkEO Collection ID]],6,FALSE),"-")</f>
        <v>- / -</v>
      </c>
      <c r="G55" s="16" t="str">
        <f>IFERROR(VLOOKUP(WEkEO[[#This Row],['#]],Table5[[current WEkEO dataset]:[Proposed new WEkEO Collection ID]],8,FALSE),"-")</f>
        <v>-</v>
      </c>
      <c r="H55" s="1" t="s">
        <v>21</v>
      </c>
    </row>
    <row r="56" spans="1:8">
      <c r="A56" s="1">
        <f t="shared" si="0"/>
        <v>55</v>
      </c>
      <c r="B56" s="1" t="s">
        <v>50</v>
      </c>
      <c r="C56" s="1" t="s">
        <v>56</v>
      </c>
      <c r="E56" s="8" t="s">
        <v>9</v>
      </c>
      <c r="F56" s="16" t="str">
        <f>IFERROR(VLOOKUP(WEkEO[[#This Row],['#]],Table5[[current WEkEO dataset]:[Proposed new WEkEO Collection ID]],3,FALSE),"-") &amp; " / " &amp; IFERROR(VLOOKUP(WEkEO[[#This Row],['#]],Table5[[current WEkEO dataset]:[Proposed new WEkEO Collection ID]],6,FALSE),"-")</f>
        <v>- / -</v>
      </c>
      <c r="G56" s="16" t="str">
        <f>IFERROR(VLOOKUP(WEkEO[[#This Row],['#]],Table5[[current WEkEO dataset]:[Proposed new WEkEO Collection ID]],8,FALSE),"-")</f>
        <v>-</v>
      </c>
      <c r="H56" s="1" t="s">
        <v>21</v>
      </c>
    </row>
    <row r="57" spans="1:8">
      <c r="A57" s="1">
        <f t="shared" si="0"/>
        <v>56</v>
      </c>
      <c r="B57" s="1" t="s">
        <v>50</v>
      </c>
      <c r="C57" s="1" t="s">
        <v>57</v>
      </c>
      <c r="E57" s="8" t="s">
        <v>9</v>
      </c>
      <c r="F57" s="16" t="str">
        <f>IFERROR(VLOOKUP(WEkEO[[#This Row],['#]],Table5[[current WEkEO dataset]:[Proposed new WEkEO Collection ID]],3,FALSE),"-") &amp; " / " &amp; IFERROR(VLOOKUP(WEkEO[[#This Row],['#]],Table5[[current WEkEO dataset]:[Proposed new WEkEO Collection ID]],6,FALSE),"-")</f>
        <v>- / -</v>
      </c>
      <c r="G57" s="16" t="str">
        <f>IFERROR(VLOOKUP(WEkEO[[#This Row],['#]],Table5[[current WEkEO dataset]:[Proposed new WEkEO Collection ID]],8,FALSE),"-")</f>
        <v>-</v>
      </c>
      <c r="H57" s="1" t="s">
        <v>21</v>
      </c>
    </row>
    <row r="58" spans="1:8">
      <c r="A58" s="1">
        <f t="shared" si="0"/>
        <v>57</v>
      </c>
      <c r="B58" s="1" t="s">
        <v>50</v>
      </c>
      <c r="C58" s="1" t="s">
        <v>58</v>
      </c>
      <c r="E58" s="8" t="s">
        <v>9</v>
      </c>
      <c r="F58" s="16" t="str">
        <f>IFERROR(VLOOKUP(WEkEO[[#This Row],['#]],Table5[[current WEkEO dataset]:[Proposed new WEkEO Collection ID]],3,FALSE),"-") &amp; " / " &amp; IFERROR(VLOOKUP(WEkEO[[#This Row],['#]],Table5[[current WEkEO dataset]:[Proposed new WEkEO Collection ID]],6,FALSE),"-")</f>
        <v>- / -</v>
      </c>
      <c r="G58" s="16" t="str">
        <f>IFERROR(VLOOKUP(WEkEO[[#This Row],['#]],Table5[[current WEkEO dataset]:[Proposed new WEkEO Collection ID]],8,FALSE),"-")</f>
        <v>-</v>
      </c>
      <c r="H58" s="1" t="s">
        <v>21</v>
      </c>
    </row>
    <row r="59" spans="1:8">
      <c r="A59" s="1">
        <f t="shared" si="0"/>
        <v>58</v>
      </c>
      <c r="B59" s="1" t="s">
        <v>50</v>
      </c>
      <c r="C59" s="1" t="s">
        <v>59</v>
      </c>
      <c r="E59" s="8" t="s">
        <v>9</v>
      </c>
      <c r="F59" s="16" t="str">
        <f>IFERROR(VLOOKUP(WEkEO[[#This Row],['#]],Table5[[current WEkEO dataset]:[Proposed new WEkEO Collection ID]],3,FALSE),"-") &amp; " / " &amp; IFERROR(VLOOKUP(WEkEO[[#This Row],['#]],Table5[[current WEkEO dataset]:[Proposed new WEkEO Collection ID]],6,FALSE),"-")</f>
        <v>- / -</v>
      </c>
      <c r="G59" s="16" t="str">
        <f>IFERROR(VLOOKUP(WEkEO[[#This Row],['#]],Table5[[current WEkEO dataset]:[Proposed new WEkEO Collection ID]],8,FALSE),"-")</f>
        <v>-</v>
      </c>
      <c r="H59" s="1" t="s">
        <v>21</v>
      </c>
    </row>
    <row r="60" spans="1:8">
      <c r="A60" s="1">
        <f t="shared" si="0"/>
        <v>59</v>
      </c>
      <c r="B60" s="1" t="s">
        <v>60</v>
      </c>
      <c r="C60" s="1" t="s">
        <v>61</v>
      </c>
      <c r="E60" s="8" t="s">
        <v>9</v>
      </c>
      <c r="F60" s="16" t="str">
        <f>IFERROR(VLOOKUP(WEkEO[[#This Row],['#]],Table5[[current WEkEO dataset]:[Proposed new WEkEO Collection ID]],3,FALSE),"-") &amp; " / " &amp; IFERROR(VLOOKUP(WEkEO[[#This Row],['#]],Table5[[current WEkEO dataset]:[Proposed new WEkEO Collection ID]],6,FALSE),"-")</f>
        <v>- / -</v>
      </c>
      <c r="G60" s="16" t="str">
        <f>IFERROR(VLOOKUP(WEkEO[[#This Row],['#]],Table5[[current WEkEO dataset]:[Proposed new WEkEO Collection ID]],8,FALSE),"-")</f>
        <v>-</v>
      </c>
      <c r="H60" s="1" t="s">
        <v>21</v>
      </c>
    </row>
    <row r="61" spans="1:8">
      <c r="A61" s="1">
        <f t="shared" si="0"/>
        <v>60</v>
      </c>
      <c r="B61" s="1" t="s">
        <v>60</v>
      </c>
      <c r="C61" s="1" t="s">
        <v>62</v>
      </c>
      <c r="E61" s="8" t="s">
        <v>9</v>
      </c>
      <c r="F61" s="16" t="str">
        <f>IFERROR(VLOOKUP(WEkEO[[#This Row],['#]],Table5[[current WEkEO dataset]:[Proposed new WEkEO Collection ID]],3,FALSE),"-") &amp; " / " &amp; IFERROR(VLOOKUP(WEkEO[[#This Row],['#]],Table5[[current WEkEO dataset]:[Proposed new WEkEO Collection ID]],6,FALSE),"-")</f>
        <v>- / -</v>
      </c>
      <c r="G61" s="16" t="str">
        <f>IFERROR(VLOOKUP(WEkEO[[#This Row],['#]],Table5[[current WEkEO dataset]:[Proposed new WEkEO Collection ID]],8,FALSE),"-")</f>
        <v>-</v>
      </c>
      <c r="H61" s="1" t="s">
        <v>21</v>
      </c>
    </row>
    <row r="62" spans="1:8">
      <c r="A62" s="1">
        <f t="shared" si="0"/>
        <v>61</v>
      </c>
      <c r="B62" s="1" t="s">
        <v>63</v>
      </c>
      <c r="C62" s="1" t="s">
        <v>64</v>
      </c>
      <c r="E62" s="8" t="s">
        <v>9</v>
      </c>
      <c r="F62" s="16" t="str">
        <f>IFERROR(VLOOKUP(WEkEO[[#This Row],['#]],Table5[[current WEkEO dataset]:[Proposed new WEkEO Collection ID]],3,FALSE),"-") &amp; " / " &amp; IFERROR(VLOOKUP(WEkEO[[#This Row],['#]],Table5[[current WEkEO dataset]:[Proposed new WEkEO Collection ID]],6,FALSE),"-")</f>
        <v>- / -</v>
      </c>
      <c r="G62" s="16" t="str">
        <f>IFERROR(VLOOKUP(WEkEO[[#This Row],['#]],Table5[[current WEkEO dataset]:[Proposed new WEkEO Collection ID]],8,FALSE),"-")</f>
        <v>-</v>
      </c>
      <c r="H62" s="1" t="s">
        <v>21</v>
      </c>
    </row>
    <row r="63" spans="1:8">
      <c r="A63" s="1">
        <f t="shared" si="0"/>
        <v>62</v>
      </c>
      <c r="B63" s="1" t="s">
        <v>63</v>
      </c>
      <c r="C63" s="1" t="s">
        <v>65</v>
      </c>
      <c r="E63" s="8" t="s">
        <v>9</v>
      </c>
      <c r="F63" s="16" t="str">
        <f>IFERROR(VLOOKUP(WEkEO[[#This Row],['#]],Table5[[current WEkEO dataset]:[Proposed new WEkEO Collection ID]],3,FALSE),"-") &amp; " / " &amp; IFERROR(VLOOKUP(WEkEO[[#This Row],['#]],Table5[[current WEkEO dataset]:[Proposed new WEkEO Collection ID]],6,FALSE),"-")</f>
        <v>- / -</v>
      </c>
      <c r="G63" s="16" t="str">
        <f>IFERROR(VLOOKUP(WEkEO[[#This Row],['#]],Table5[[current WEkEO dataset]:[Proposed new WEkEO Collection ID]],8,FALSE),"-")</f>
        <v>-</v>
      </c>
      <c r="H63" s="1" t="s">
        <v>21</v>
      </c>
    </row>
    <row r="64" spans="1:8">
      <c r="A64" s="1">
        <f t="shared" si="0"/>
        <v>63</v>
      </c>
      <c r="B64" s="1" t="s">
        <v>63</v>
      </c>
      <c r="C64" s="1" t="s">
        <v>66</v>
      </c>
      <c r="E64" s="8" t="s">
        <v>9</v>
      </c>
      <c r="F64" s="16" t="str">
        <f>IFERROR(VLOOKUP(WEkEO[[#This Row],['#]],Table5[[current WEkEO dataset]:[Proposed new WEkEO Collection ID]],3,FALSE),"-") &amp; " / " &amp; IFERROR(VLOOKUP(WEkEO[[#This Row],['#]],Table5[[current WEkEO dataset]:[Proposed new WEkEO Collection ID]],6,FALSE),"-")</f>
        <v>- / -</v>
      </c>
      <c r="G64" s="16" t="str">
        <f>IFERROR(VLOOKUP(WEkEO[[#This Row],['#]],Table5[[current WEkEO dataset]:[Proposed new WEkEO Collection ID]],8,FALSE),"-")</f>
        <v>-</v>
      </c>
      <c r="H64" s="1" t="s">
        <v>21</v>
      </c>
    </row>
    <row r="65" spans="1:8">
      <c r="A65" s="1">
        <f t="shared" si="0"/>
        <v>64</v>
      </c>
      <c r="B65" s="1" t="s">
        <v>63</v>
      </c>
      <c r="C65" s="1" t="s">
        <v>67</v>
      </c>
      <c r="E65" s="8" t="s">
        <v>9</v>
      </c>
      <c r="F65" s="16" t="str">
        <f>IFERROR(VLOOKUP(WEkEO[[#This Row],['#]],Table5[[current WEkEO dataset]:[Proposed new WEkEO Collection ID]],3,FALSE),"-") &amp; " / " &amp; IFERROR(VLOOKUP(WEkEO[[#This Row],['#]],Table5[[current WEkEO dataset]:[Proposed new WEkEO Collection ID]],6,FALSE),"-")</f>
        <v>- / -</v>
      </c>
      <c r="G65" s="16" t="str">
        <f>IFERROR(VLOOKUP(WEkEO[[#This Row],['#]],Table5[[current WEkEO dataset]:[Proposed new WEkEO Collection ID]],8,FALSE),"-")</f>
        <v>-</v>
      </c>
      <c r="H65" s="1" t="s">
        <v>21</v>
      </c>
    </row>
    <row r="66" spans="1:8">
      <c r="A66" s="1">
        <f t="shared" si="0"/>
        <v>65</v>
      </c>
      <c r="B66" s="1" t="s">
        <v>63</v>
      </c>
      <c r="C66" s="1" t="s">
        <v>68</v>
      </c>
      <c r="E66" s="8" t="s">
        <v>9</v>
      </c>
      <c r="F66" s="16" t="str">
        <f>IFERROR(VLOOKUP(WEkEO[[#This Row],['#]],Table5[[current WEkEO dataset]:[Proposed new WEkEO Collection ID]],3,FALSE),"-") &amp; " / " &amp; IFERROR(VLOOKUP(WEkEO[[#This Row],['#]],Table5[[current WEkEO dataset]:[Proposed new WEkEO Collection ID]],6,FALSE),"-")</f>
        <v>- / -</v>
      </c>
      <c r="G66" s="16" t="str">
        <f>IFERROR(VLOOKUP(WEkEO[[#This Row],['#]],Table5[[current WEkEO dataset]:[Proposed new WEkEO Collection ID]],8,FALSE),"-")</f>
        <v>-</v>
      </c>
      <c r="H66" s="1" t="s">
        <v>21</v>
      </c>
    </row>
    <row r="67" spans="1:8">
      <c r="A67" s="1">
        <f t="shared" si="0"/>
        <v>66</v>
      </c>
      <c r="B67" s="1" t="s">
        <v>69</v>
      </c>
      <c r="C67" s="1" t="s">
        <v>70</v>
      </c>
      <c r="E67" s="8" t="s">
        <v>9</v>
      </c>
      <c r="F67" s="16" t="str">
        <f>IFERROR(VLOOKUP(WEkEO[[#This Row],['#]],Table5[[current WEkEO dataset]:[Proposed new WEkEO Collection ID]],3,FALSE),"-") &amp; " / " &amp; IFERROR(VLOOKUP(WEkEO[[#This Row],['#]],Table5[[current WEkEO dataset]:[Proposed new WEkEO Collection ID]],6,FALSE),"-")</f>
        <v>- / -</v>
      </c>
      <c r="G67" s="16" t="str">
        <f>IFERROR(VLOOKUP(WEkEO[[#This Row],['#]],Table5[[current WEkEO dataset]:[Proposed new WEkEO Collection ID]],8,FALSE),"-")</f>
        <v>-</v>
      </c>
      <c r="H67" s="1" t="s">
        <v>21</v>
      </c>
    </row>
    <row r="68" spans="1:8">
      <c r="A68" s="1">
        <f t="shared" ref="A68:A131" si="1">A67+1</f>
        <v>67</v>
      </c>
      <c r="B68" s="1" t="s">
        <v>69</v>
      </c>
      <c r="C68" s="1" t="s">
        <v>71</v>
      </c>
      <c r="E68" s="8" t="s">
        <v>9</v>
      </c>
      <c r="F68" s="16" t="str">
        <f>IFERROR(VLOOKUP(WEkEO[[#This Row],['#]],Table5[[current WEkEO dataset]:[Proposed new WEkEO Collection ID]],3,FALSE),"-") &amp; " / " &amp; IFERROR(VLOOKUP(WEkEO[[#This Row],['#]],Table5[[current WEkEO dataset]:[Proposed new WEkEO Collection ID]],6,FALSE),"-")</f>
        <v>- / -</v>
      </c>
      <c r="G68" s="16" t="str">
        <f>IFERROR(VLOOKUP(WEkEO[[#This Row],['#]],Table5[[current WEkEO dataset]:[Proposed new WEkEO Collection ID]],8,FALSE),"-")</f>
        <v>-</v>
      </c>
      <c r="H68" s="1" t="s">
        <v>21</v>
      </c>
    </row>
    <row r="69" spans="1:8">
      <c r="A69" s="1">
        <f t="shared" si="1"/>
        <v>68</v>
      </c>
      <c r="B69" s="1" t="s">
        <v>69</v>
      </c>
      <c r="C69" s="1" t="s">
        <v>72</v>
      </c>
      <c r="E69" s="8" t="s">
        <v>9</v>
      </c>
      <c r="F69" s="16" t="str">
        <f>IFERROR(VLOOKUP(WEkEO[[#This Row],['#]],Table5[[current WEkEO dataset]:[Proposed new WEkEO Collection ID]],3,FALSE),"-") &amp; " / " &amp; IFERROR(VLOOKUP(WEkEO[[#This Row],['#]],Table5[[current WEkEO dataset]:[Proposed new WEkEO Collection ID]],6,FALSE),"-")</f>
        <v>- / -</v>
      </c>
      <c r="G69" s="16" t="str">
        <f>IFERROR(VLOOKUP(WEkEO[[#This Row],['#]],Table5[[current WEkEO dataset]:[Proposed new WEkEO Collection ID]],8,FALSE),"-")</f>
        <v>-</v>
      </c>
      <c r="H69" s="1" t="s">
        <v>21</v>
      </c>
    </row>
    <row r="70" spans="1:8">
      <c r="A70" s="1">
        <f t="shared" si="1"/>
        <v>69</v>
      </c>
      <c r="B70" s="1" t="s">
        <v>73</v>
      </c>
      <c r="C70" s="1" t="s">
        <v>74</v>
      </c>
      <c r="E70" s="8" t="s">
        <v>9</v>
      </c>
      <c r="F70" s="16" t="str">
        <f>IFERROR(VLOOKUP(WEkEO[[#This Row],['#]],Table5[[current WEkEO dataset]:[Proposed new WEkEO Collection ID]],3,FALSE),"-") &amp; " / " &amp; IFERROR(VLOOKUP(WEkEO[[#This Row],['#]],Table5[[current WEkEO dataset]:[Proposed new WEkEO Collection ID]],6,FALSE),"-")</f>
        <v>- / -</v>
      </c>
      <c r="G70" s="16" t="str">
        <f>IFERROR(VLOOKUP(WEkEO[[#This Row],['#]],Table5[[current WEkEO dataset]:[Proposed new WEkEO Collection ID]],8,FALSE),"-")</f>
        <v>-</v>
      </c>
      <c r="H70" s="1" t="s">
        <v>21</v>
      </c>
    </row>
    <row r="71" spans="1:8">
      <c r="A71" s="1">
        <f t="shared" si="1"/>
        <v>70</v>
      </c>
      <c r="B71" s="1" t="s">
        <v>73</v>
      </c>
      <c r="C71" s="1" t="s">
        <v>75</v>
      </c>
      <c r="E71" s="8" t="s">
        <v>9</v>
      </c>
      <c r="F71" s="16" t="str">
        <f>IFERROR(VLOOKUP(WEkEO[[#This Row],['#]],Table5[[current WEkEO dataset]:[Proposed new WEkEO Collection ID]],3,FALSE),"-") &amp; " / " &amp; IFERROR(VLOOKUP(WEkEO[[#This Row],['#]],Table5[[current WEkEO dataset]:[Proposed new WEkEO Collection ID]],6,FALSE),"-")</f>
        <v>- / -</v>
      </c>
      <c r="G71" s="16" t="str">
        <f>IFERROR(VLOOKUP(WEkEO[[#This Row],['#]],Table5[[current WEkEO dataset]:[Proposed new WEkEO Collection ID]],8,FALSE),"-")</f>
        <v>-</v>
      </c>
      <c r="H71" s="1" t="s">
        <v>21</v>
      </c>
    </row>
    <row r="72" spans="1:8">
      <c r="A72" s="1">
        <f t="shared" si="1"/>
        <v>71</v>
      </c>
      <c r="B72" s="1" t="s">
        <v>73</v>
      </c>
      <c r="C72" s="1" t="s">
        <v>76</v>
      </c>
      <c r="E72" s="8" t="s">
        <v>9</v>
      </c>
      <c r="F72" s="16" t="str">
        <f>IFERROR(VLOOKUP(WEkEO[[#This Row],['#]],Table5[[current WEkEO dataset]:[Proposed new WEkEO Collection ID]],3,FALSE),"-") &amp; " / " &amp; IFERROR(VLOOKUP(WEkEO[[#This Row],['#]],Table5[[current WEkEO dataset]:[Proposed new WEkEO Collection ID]],6,FALSE),"-")</f>
        <v>- / -</v>
      </c>
      <c r="G72" s="16" t="str">
        <f>IFERROR(VLOOKUP(WEkEO[[#This Row],['#]],Table5[[current WEkEO dataset]:[Proposed new WEkEO Collection ID]],8,FALSE),"-")</f>
        <v>-</v>
      </c>
      <c r="H72" s="1" t="s">
        <v>21</v>
      </c>
    </row>
    <row r="73" spans="1:8">
      <c r="A73" s="1">
        <f t="shared" si="1"/>
        <v>72</v>
      </c>
      <c r="B73" s="1" t="s">
        <v>73</v>
      </c>
      <c r="C73" s="1" t="s">
        <v>77</v>
      </c>
      <c r="E73" s="8" t="s">
        <v>9</v>
      </c>
      <c r="F73" s="16" t="str">
        <f>IFERROR(VLOOKUP(WEkEO[[#This Row],['#]],Table5[[current WEkEO dataset]:[Proposed new WEkEO Collection ID]],3,FALSE),"-") &amp; " / " &amp; IFERROR(VLOOKUP(WEkEO[[#This Row],['#]],Table5[[current WEkEO dataset]:[Proposed new WEkEO Collection ID]],6,FALSE),"-")</f>
        <v>- / -</v>
      </c>
      <c r="G73" s="16" t="str">
        <f>IFERROR(VLOOKUP(WEkEO[[#This Row],['#]],Table5[[current WEkEO dataset]:[Proposed new WEkEO Collection ID]],8,FALSE),"-")</f>
        <v>-</v>
      </c>
      <c r="H73" s="1" t="s">
        <v>21</v>
      </c>
    </row>
    <row r="74" spans="1:8">
      <c r="A74" s="1">
        <f t="shared" si="1"/>
        <v>73</v>
      </c>
      <c r="B74" s="1" t="s">
        <v>73</v>
      </c>
      <c r="C74" s="1" t="s">
        <v>78</v>
      </c>
      <c r="E74" s="8" t="s">
        <v>9</v>
      </c>
      <c r="F74" s="16" t="str">
        <f>IFERROR(VLOOKUP(WEkEO[[#This Row],['#]],Table5[[current WEkEO dataset]:[Proposed new WEkEO Collection ID]],3,FALSE),"-") &amp; " / " &amp; IFERROR(VLOOKUP(WEkEO[[#This Row],['#]],Table5[[current WEkEO dataset]:[Proposed new WEkEO Collection ID]],6,FALSE),"-")</f>
        <v>- / -</v>
      </c>
      <c r="G74" s="16" t="str">
        <f>IFERROR(VLOOKUP(WEkEO[[#This Row],['#]],Table5[[current WEkEO dataset]:[Proposed new WEkEO Collection ID]],8,FALSE),"-")</f>
        <v>-</v>
      </c>
      <c r="H74" s="1" t="s">
        <v>21</v>
      </c>
    </row>
    <row r="75" spans="1:8">
      <c r="A75" s="1">
        <f t="shared" si="1"/>
        <v>74</v>
      </c>
      <c r="B75" s="1" t="s">
        <v>73</v>
      </c>
      <c r="C75" s="1" t="s">
        <v>79</v>
      </c>
      <c r="E75" s="8" t="s">
        <v>9</v>
      </c>
      <c r="F75" s="16" t="str">
        <f>IFERROR(VLOOKUP(WEkEO[[#This Row],['#]],Table5[[current WEkEO dataset]:[Proposed new WEkEO Collection ID]],3,FALSE),"-") &amp; " / " &amp; IFERROR(VLOOKUP(WEkEO[[#This Row],['#]],Table5[[current WEkEO dataset]:[Proposed new WEkEO Collection ID]],6,FALSE),"-")</f>
        <v>- / -</v>
      </c>
      <c r="G75" s="16" t="str">
        <f>IFERROR(VLOOKUP(WEkEO[[#This Row],['#]],Table5[[current WEkEO dataset]:[Proposed new WEkEO Collection ID]],8,FALSE),"-")</f>
        <v>-</v>
      </c>
      <c r="H75" s="1" t="s">
        <v>21</v>
      </c>
    </row>
    <row r="76" spans="1:8">
      <c r="A76" s="1">
        <f t="shared" si="1"/>
        <v>75</v>
      </c>
      <c r="B76" s="1" t="s">
        <v>73</v>
      </c>
      <c r="C76" s="1" t="s">
        <v>80</v>
      </c>
      <c r="E76" s="8" t="s">
        <v>9</v>
      </c>
      <c r="F76" s="16" t="str">
        <f>IFERROR(VLOOKUP(WEkEO[[#This Row],['#]],Table5[[current WEkEO dataset]:[Proposed new WEkEO Collection ID]],3,FALSE),"-") &amp; " / " &amp; IFERROR(VLOOKUP(WEkEO[[#This Row],['#]],Table5[[current WEkEO dataset]:[Proposed new WEkEO Collection ID]],6,FALSE),"-")</f>
        <v>- / -</v>
      </c>
      <c r="G76" s="16" t="str">
        <f>IFERROR(VLOOKUP(WEkEO[[#This Row],['#]],Table5[[current WEkEO dataset]:[Proposed new WEkEO Collection ID]],8,FALSE),"-")</f>
        <v>-</v>
      </c>
      <c r="H76" s="1" t="s">
        <v>21</v>
      </c>
    </row>
    <row r="77" spans="1:8">
      <c r="A77" s="1">
        <f t="shared" si="1"/>
        <v>76</v>
      </c>
      <c r="B77" s="1" t="s">
        <v>73</v>
      </c>
      <c r="C77" s="1" t="s">
        <v>81</v>
      </c>
      <c r="E77" s="8" t="s">
        <v>9</v>
      </c>
      <c r="F77" s="16" t="str">
        <f>IFERROR(VLOOKUP(WEkEO[[#This Row],['#]],Table5[[current WEkEO dataset]:[Proposed new WEkEO Collection ID]],3,FALSE),"-") &amp; " / " &amp; IFERROR(VLOOKUP(WEkEO[[#This Row],['#]],Table5[[current WEkEO dataset]:[Proposed new WEkEO Collection ID]],6,FALSE),"-")</f>
        <v>- / -</v>
      </c>
      <c r="G77" s="16" t="str">
        <f>IFERROR(VLOOKUP(WEkEO[[#This Row],['#]],Table5[[current WEkEO dataset]:[Proposed new WEkEO Collection ID]],8,FALSE),"-")</f>
        <v>-</v>
      </c>
      <c r="H77" s="1" t="s">
        <v>21</v>
      </c>
    </row>
    <row r="78" spans="1:8">
      <c r="A78" s="1">
        <f t="shared" si="1"/>
        <v>77</v>
      </c>
      <c r="B78" s="1" t="s">
        <v>73</v>
      </c>
      <c r="C78" s="1" t="s">
        <v>82</v>
      </c>
      <c r="E78" s="8" t="s">
        <v>9</v>
      </c>
      <c r="F78" s="16" t="str">
        <f>IFERROR(VLOOKUP(WEkEO[[#This Row],['#]],Table5[[current WEkEO dataset]:[Proposed new WEkEO Collection ID]],3,FALSE),"-") &amp; " / " &amp; IFERROR(VLOOKUP(WEkEO[[#This Row],['#]],Table5[[current WEkEO dataset]:[Proposed new WEkEO Collection ID]],6,FALSE),"-")</f>
        <v>- / -</v>
      </c>
      <c r="G78" s="16" t="str">
        <f>IFERROR(VLOOKUP(WEkEO[[#This Row],['#]],Table5[[current WEkEO dataset]:[Proposed new WEkEO Collection ID]],8,FALSE),"-")</f>
        <v>-</v>
      </c>
      <c r="H78" s="1" t="s">
        <v>21</v>
      </c>
    </row>
    <row r="79" spans="1:8">
      <c r="A79" s="1">
        <f t="shared" si="1"/>
        <v>78</v>
      </c>
      <c r="B79" s="1" t="s">
        <v>83</v>
      </c>
      <c r="C79" s="1" t="s">
        <v>84</v>
      </c>
      <c r="D79" s="2" t="s">
        <v>20</v>
      </c>
      <c r="E79" s="8" t="s">
        <v>85</v>
      </c>
      <c r="F79" s="16" t="str">
        <f>IFERROR(VLOOKUP(WEkEO[[#This Row],['#]],Table5[[current WEkEO dataset]:[Proposed new WEkEO Collection ID]],3,FALSE),"-") &amp; " / " &amp; IFERROR(VLOOKUP(WEkEO[[#This Row],['#]],Table5[[current WEkEO dataset]:[Proposed new WEkEO Collection ID]],6,FALSE),"-")</f>
        <v>CLMS / clms_vlcc_bare-soil-after_europe_10m_yearly_v1</v>
      </c>
      <c r="G79" s="16" t="str">
        <f>IFERROR(VLOOKUP(WEkEO[[#This Row],['#]],Table5[[current WEkEO dataset]:[Proposed new WEkEO Collection ID]],8,FALSE),"-")</f>
        <v>EO:CLMS:CDSE:CRP</v>
      </c>
      <c r="H79" s="1" t="s">
        <v>22</v>
      </c>
    </row>
    <row r="80" spans="1:8">
      <c r="A80" s="1">
        <f t="shared" si="1"/>
        <v>79</v>
      </c>
      <c r="B80" s="1" t="s">
        <v>83</v>
      </c>
      <c r="C80" s="1" t="s">
        <v>86</v>
      </c>
      <c r="D80" s="2" t="s">
        <v>20</v>
      </c>
      <c r="E80" s="8" t="s">
        <v>85</v>
      </c>
      <c r="F80" s="16" t="str">
        <f>IFERROR(VLOOKUP(WEkEO[[#This Row],['#]],Table5[[current WEkEO dataset]:[Proposed new WEkEO Collection ID]],3,FALSE),"-") &amp; " / " &amp; IFERROR(VLOOKUP(WEkEO[[#This Row],['#]],Table5[[current WEkEO dataset]:[Proposed new WEkEO Collection ID]],6,FALSE),"-")</f>
        <v>CLMS / clms_vlcc_bare-soil-after-confidence-layer_europe_10m_yearly_v1</v>
      </c>
      <c r="G80" s="16" t="str">
        <f>IFERROR(VLOOKUP(WEkEO[[#This Row],['#]],Table5[[current WEkEO dataset]:[Proposed new WEkEO Collection ID]],8,FALSE),"-")</f>
        <v>EO:CLMS:CDSE:CRP</v>
      </c>
      <c r="H80" s="1" t="s">
        <v>22</v>
      </c>
    </row>
    <row r="81" spans="1:8">
      <c r="A81" s="1">
        <f t="shared" si="1"/>
        <v>80</v>
      </c>
      <c r="B81" s="1" t="s">
        <v>83</v>
      </c>
      <c r="C81" s="1" t="s">
        <v>87</v>
      </c>
      <c r="D81" s="2" t="s">
        <v>20</v>
      </c>
      <c r="E81" s="8" t="s">
        <v>85</v>
      </c>
      <c r="F81" s="16" t="str">
        <f>IFERROR(VLOOKUP(WEkEO[[#This Row],['#]],Table5[[current WEkEO dataset]:[Proposed new WEkEO Collection ID]],3,FALSE),"-") &amp; " / " &amp; IFERROR(VLOOKUP(WEkEO[[#This Row],['#]],Table5[[current WEkEO dataset]:[Proposed new WEkEO Collection ID]],6,FALSE),"-")</f>
        <v>CLMS / clms_vlcc_bare-soil-before_europe_10m_yearly_v1</v>
      </c>
      <c r="G81" s="16" t="str">
        <f>IFERROR(VLOOKUP(WEkEO[[#This Row],['#]],Table5[[current WEkEO dataset]:[Proposed new WEkEO Collection ID]],8,FALSE),"-")</f>
        <v>EO:CLMS:CDSE:CRP</v>
      </c>
      <c r="H81" s="1" t="s">
        <v>22</v>
      </c>
    </row>
    <row r="82" spans="1:8">
      <c r="A82" s="1">
        <f t="shared" si="1"/>
        <v>81</v>
      </c>
      <c r="B82" s="1" t="s">
        <v>83</v>
      </c>
      <c r="C82" s="1" t="s">
        <v>88</v>
      </c>
      <c r="D82" s="2" t="s">
        <v>20</v>
      </c>
      <c r="E82" s="8" t="s">
        <v>85</v>
      </c>
      <c r="F82" s="16" t="str">
        <f>IFERROR(VLOOKUP(WEkEO[[#This Row],['#]],Table5[[current WEkEO dataset]:[Proposed new WEkEO Collection ID]],3,FALSE),"-") &amp; " / " &amp; IFERROR(VLOOKUP(WEkEO[[#This Row],['#]],Table5[[current WEkEO dataset]:[Proposed new WEkEO Collection ID]],6,FALSE),"-")</f>
        <v>CLMS / clms_vlcc_bare-soil-before-confidence-layer_europe_10m_yearly_v1</v>
      </c>
      <c r="G82" s="16" t="str">
        <f>IFERROR(VLOOKUP(WEkEO[[#This Row],['#]],Table5[[current WEkEO dataset]:[Proposed new WEkEO Collection ID]],8,FALSE),"-")</f>
        <v>EO:CLMS:CDSE:CRP</v>
      </c>
      <c r="H82" s="1" t="s">
        <v>22</v>
      </c>
    </row>
    <row r="83" spans="1:8">
      <c r="A83" s="1">
        <f t="shared" si="1"/>
        <v>82</v>
      </c>
      <c r="B83" s="1" t="s">
        <v>83</v>
      </c>
      <c r="C83" s="1" t="s">
        <v>89</v>
      </c>
      <c r="D83" s="2" t="s">
        <v>20</v>
      </c>
      <c r="E83" s="8" t="s">
        <v>85</v>
      </c>
      <c r="F83" s="16" t="str">
        <f>IFERROR(VLOOKUP(WEkEO[[#This Row],['#]],Table5[[current WEkEO dataset]:[Proposed new WEkEO Collection ID]],3,FALSE),"-") &amp; " / " &amp; IFERROR(VLOOKUP(WEkEO[[#This Row],['#]],Table5[[current WEkEO dataset]:[Proposed new WEkEO Collection ID]],6,FALSE),"-")</f>
        <v>CLMS / clms_vlcc_crop-types_europe_10m_yearly_v1</v>
      </c>
      <c r="G83" s="16" t="str">
        <f>IFERROR(VLOOKUP(WEkEO[[#This Row],['#]],Table5[[current WEkEO dataset]:[Proposed new WEkEO Collection ID]],8,FALSE),"-")</f>
        <v>EO:CLMS:CDSE:CRT</v>
      </c>
      <c r="H83" s="1" t="s">
        <v>22</v>
      </c>
    </row>
    <row r="84" spans="1:8">
      <c r="A84" s="1">
        <f t="shared" si="1"/>
        <v>83</v>
      </c>
      <c r="B84" s="1" t="s">
        <v>83</v>
      </c>
      <c r="C84" s="1" t="s">
        <v>90</v>
      </c>
      <c r="D84" s="2" t="s">
        <v>20</v>
      </c>
      <c r="E84" s="8" t="s">
        <v>85</v>
      </c>
      <c r="F84" s="16" t="str">
        <f>IFERROR(VLOOKUP(WEkEO[[#This Row],['#]],Table5[[current WEkEO dataset]:[Proposed new WEkEO Collection ID]],3,FALSE),"-") &amp; " / " &amp; IFERROR(VLOOKUP(WEkEO[[#This Row],['#]],Table5[[current WEkEO dataset]:[Proposed new WEkEO Collection ID]],6,FALSE),"-")</f>
        <v>CLMS / clms_vlcc_crop-types-confidence-layer_europe_10m_yearly_v1</v>
      </c>
      <c r="G84" s="16" t="str">
        <f>IFERROR(VLOOKUP(WEkEO[[#This Row],['#]],Table5[[current WEkEO dataset]:[Proposed new WEkEO Collection ID]],8,FALSE),"-")</f>
        <v>EO:CLMS:CDSE:CRT</v>
      </c>
      <c r="H84" s="1" t="s">
        <v>22</v>
      </c>
    </row>
    <row r="85" spans="1:8">
      <c r="A85" s="1">
        <f t="shared" si="1"/>
        <v>84</v>
      </c>
      <c r="B85" s="1" t="s">
        <v>83</v>
      </c>
      <c r="C85" s="1" t="s">
        <v>91</v>
      </c>
      <c r="D85" s="2" t="s">
        <v>20</v>
      </c>
      <c r="E85" s="8" t="s">
        <v>92</v>
      </c>
      <c r="F85" s="16" t="str">
        <f>IFERROR(VLOOKUP(WEkEO[[#This Row],['#]],Table5[[current WEkEO dataset]:[Proposed new WEkEO Collection ID]],3,FALSE),"-") &amp; " / " &amp; IFERROR(VLOOKUP(WEkEO[[#This Row],['#]],Table5[[current WEkEO dataset]:[Proposed new WEkEO Collection ID]],6,FALSE),"-")</f>
        <v>CLMS / clms_vlcc_cropping-seasons-types_europe_10m_yearly_v1</v>
      </c>
      <c r="G85" s="16" t="str">
        <f>IFERROR(VLOOKUP(WEkEO[[#This Row],['#]],Table5[[current WEkEO dataset]:[Proposed new WEkEO Collection ID]],8,FALSE),"-")</f>
        <v>EO:CLMS:CDSE:CRP</v>
      </c>
      <c r="H85" s="1" t="s">
        <v>22</v>
      </c>
    </row>
    <row r="86" spans="1:8">
      <c r="A86" s="1">
        <f t="shared" si="1"/>
        <v>85</v>
      </c>
      <c r="B86" s="1" t="s">
        <v>83</v>
      </c>
      <c r="C86" s="1" t="s">
        <v>93</v>
      </c>
      <c r="D86" s="2" t="s">
        <v>20</v>
      </c>
      <c r="E86" s="8" t="s">
        <v>85</v>
      </c>
      <c r="F86" s="16" t="str">
        <f>IFERROR(VLOOKUP(WEkEO[[#This Row],['#]],Table5[[current WEkEO dataset]:[Proposed new WEkEO Collection ID]],3,FALSE),"-") &amp; " / " &amp; IFERROR(VLOOKUP(WEkEO[[#This Row],['#]],Table5[[current WEkEO dataset]:[Proposed new WEkEO Collection ID]],6,FALSE),"-")</f>
        <v>CLMS / clms_vlcc_cropping-seasons_europe_10m_yearly_v1</v>
      </c>
      <c r="G86" s="16" t="str">
        <f>IFERROR(VLOOKUP(WEkEO[[#This Row],['#]],Table5[[current WEkEO dataset]:[Proposed new WEkEO Collection ID]],8,FALSE),"-")</f>
        <v>EO:CLMS:CDSE:CRP</v>
      </c>
      <c r="H86" s="1" t="s">
        <v>22</v>
      </c>
    </row>
    <row r="87" spans="1:8">
      <c r="A87" s="1">
        <f t="shared" si="1"/>
        <v>86</v>
      </c>
      <c r="B87" s="1" t="s">
        <v>83</v>
      </c>
      <c r="C87" s="1" t="s">
        <v>94</v>
      </c>
      <c r="D87" s="2" t="s">
        <v>20</v>
      </c>
      <c r="E87" s="8" t="s">
        <v>95</v>
      </c>
      <c r="F87" s="16" t="str">
        <f>IFERROR(VLOOKUP(WEkEO[[#This Row],['#]],Table5[[current WEkEO dataset]:[Proposed new WEkEO Collection ID]],3,FALSE),"-") &amp; " / " &amp; IFERROR(VLOOKUP(WEkEO[[#This Row],['#]],Table5[[current WEkEO dataset]:[Proposed new WEkEO Collection ID]],6,FALSE),"-")</f>
        <v>CLMS / clms_vlcc_fallow-land-duration_europe_10m_yearly_v1</v>
      </c>
      <c r="G87" s="16" t="str">
        <f>IFERROR(VLOOKUP(WEkEO[[#This Row],['#]],Table5[[current WEkEO dataset]:[Proposed new WEkEO Collection ID]],8,FALSE),"-")</f>
        <v>EO:CLMS:CDSE:CRP</v>
      </c>
      <c r="H87" s="1" t="s">
        <v>22</v>
      </c>
    </row>
    <row r="88" spans="1:8">
      <c r="A88" s="1">
        <f t="shared" si="1"/>
        <v>87</v>
      </c>
      <c r="B88" s="1" t="s">
        <v>83</v>
      </c>
      <c r="C88" s="1" t="s">
        <v>96</v>
      </c>
      <c r="D88" s="2" t="s">
        <v>20</v>
      </c>
      <c r="E88" s="8" t="s">
        <v>95</v>
      </c>
      <c r="F88" s="16" t="str">
        <f>IFERROR(VLOOKUP(WEkEO[[#This Row],['#]],Table5[[current WEkEO dataset]:[Proposed new WEkEO Collection ID]],3,FALSE),"-") &amp; " / " &amp; IFERROR(VLOOKUP(WEkEO[[#This Row],['#]],Table5[[current WEkEO dataset]:[Proposed new WEkEO Collection ID]],6,FALSE),"-")</f>
        <v>CLMS / clms_vlcc_fallow-land-duration-confidence-layer_europe_10m_yearly_v1</v>
      </c>
      <c r="G88" s="16" t="str">
        <f>IFERROR(VLOOKUP(WEkEO[[#This Row],['#]],Table5[[current WEkEO dataset]:[Proposed new WEkEO Collection ID]],8,FALSE),"-")</f>
        <v>EO:CLMS:CDSE:CRP</v>
      </c>
      <c r="H88" s="1" t="s">
        <v>22</v>
      </c>
    </row>
    <row r="89" spans="1:8">
      <c r="A89" s="1">
        <f t="shared" si="1"/>
        <v>88</v>
      </c>
      <c r="B89" s="1" t="s">
        <v>83</v>
      </c>
      <c r="C89" s="1" t="s">
        <v>97</v>
      </c>
      <c r="D89" s="2" t="s">
        <v>20</v>
      </c>
      <c r="E89" s="8" t="s">
        <v>85</v>
      </c>
      <c r="F89" s="16" t="str">
        <f>IFERROR(VLOOKUP(WEkEO[[#This Row],['#]],Table5[[current WEkEO dataset]:[Proposed new WEkEO Collection ID]],3,FALSE),"-") &amp; " / " &amp; IFERROR(VLOOKUP(WEkEO[[#This Row],['#]],Table5[[current WEkEO dataset]:[Proposed new WEkEO Collection ID]],6,FALSE),"-")</f>
        <v>CLMS / clms_vlcc_fallow-land-presence_europe_10m_yearly_v1</v>
      </c>
      <c r="G89" s="16" t="str">
        <f>IFERROR(VLOOKUP(WEkEO[[#This Row],['#]],Table5[[current WEkEO dataset]:[Proposed new WEkEO Collection ID]],8,FALSE),"-")</f>
        <v>EO:CLMS:CDSE:CRP</v>
      </c>
      <c r="H89" s="1" t="s">
        <v>22</v>
      </c>
    </row>
    <row r="90" spans="1:8">
      <c r="A90" s="1">
        <f t="shared" si="1"/>
        <v>89</v>
      </c>
      <c r="B90" s="1" t="s">
        <v>83</v>
      </c>
      <c r="C90" s="1" t="s">
        <v>98</v>
      </c>
      <c r="D90" s="2" t="s">
        <v>20</v>
      </c>
      <c r="E90" s="8" t="s">
        <v>85</v>
      </c>
      <c r="F90" s="16" t="str">
        <f>IFERROR(VLOOKUP(WEkEO[[#This Row],['#]],Table5[[current WEkEO dataset]:[Proposed new WEkEO Collection ID]],3,FALSE),"-") &amp; " / " &amp; IFERROR(VLOOKUP(WEkEO[[#This Row],['#]],Table5[[current WEkEO dataset]:[Proposed new WEkEO Collection ID]],6,FALSE),"-")</f>
        <v>CLMS / clms_vlcc_fallow-land-presence-confidence-layer_europe_10m_yearly_v1</v>
      </c>
      <c r="G90" s="16" t="str">
        <f>IFERROR(VLOOKUP(WEkEO[[#This Row],['#]],Table5[[current WEkEO dataset]:[Proposed new WEkEO Collection ID]],8,FALSE),"-")</f>
        <v>EO:CLMS:CDSE:CRP</v>
      </c>
      <c r="H90" s="1" t="s">
        <v>22</v>
      </c>
    </row>
    <row r="91" spans="1:8">
      <c r="A91" s="1">
        <f t="shared" si="1"/>
        <v>90</v>
      </c>
      <c r="B91" s="1" t="s">
        <v>83</v>
      </c>
      <c r="C91" s="1" t="s">
        <v>99</v>
      </c>
      <c r="D91" s="2" t="s">
        <v>20</v>
      </c>
      <c r="E91" s="8" t="s">
        <v>85</v>
      </c>
      <c r="F91" s="16" t="str">
        <f>IFERROR(VLOOKUP(WEkEO[[#This Row],['#]],Table5[[current WEkEO dataset]:[Proposed new WEkEO Collection ID]],3,FALSE),"-") &amp; " / " &amp; IFERROR(VLOOKUP(WEkEO[[#This Row],['#]],Table5[[current WEkEO dataset]:[Proposed new WEkEO Collection ID]],6,FALSE),"-")</f>
        <v>CLMS / clms_vlcc_main-crop-duration_europe_10m_yearly_v1</v>
      </c>
      <c r="G91" s="16" t="str">
        <f>IFERROR(VLOOKUP(WEkEO[[#This Row],['#]],Table5[[current WEkEO dataset]:[Proposed new WEkEO Collection ID]],8,FALSE),"-")</f>
        <v>EO:CLMS:CDSE:CRP</v>
      </c>
      <c r="H91" s="1" t="s">
        <v>22</v>
      </c>
    </row>
    <row r="92" spans="1:8">
      <c r="A92" s="1">
        <f t="shared" si="1"/>
        <v>91</v>
      </c>
      <c r="B92" s="1" t="s">
        <v>83</v>
      </c>
      <c r="C92" s="1" t="s">
        <v>100</v>
      </c>
      <c r="D92" s="2" t="s">
        <v>20</v>
      </c>
      <c r="E92" s="8" t="s">
        <v>85</v>
      </c>
      <c r="F92" s="16" t="str">
        <f>IFERROR(VLOOKUP(WEkEO[[#This Row],['#]],Table5[[current WEkEO dataset]:[Proposed new WEkEO Collection ID]],3,FALSE),"-") &amp; " / " &amp; IFERROR(VLOOKUP(WEkEO[[#This Row],['#]],Table5[[current WEkEO dataset]:[Proposed new WEkEO Collection ID]],6,FALSE),"-")</f>
        <v>CLMS / clms_vlcc_main-crop-duration-confidence-layer_europe_10m_yearly_v1</v>
      </c>
      <c r="G92" s="16" t="str">
        <f>IFERROR(VLOOKUP(WEkEO[[#This Row],['#]],Table5[[current WEkEO dataset]:[Proposed new WEkEO Collection ID]],8,FALSE),"-")</f>
        <v>EO:CLMS:CDSE:CRP</v>
      </c>
      <c r="H92" s="1" t="s">
        <v>22</v>
      </c>
    </row>
    <row r="93" spans="1:8">
      <c r="A93" s="1">
        <f t="shared" si="1"/>
        <v>92</v>
      </c>
      <c r="B93" s="1" t="s">
        <v>83</v>
      </c>
      <c r="C93" s="1" t="s">
        <v>101</v>
      </c>
      <c r="D93" s="2" t="s">
        <v>20</v>
      </c>
      <c r="E93" s="8" t="s">
        <v>85</v>
      </c>
      <c r="F93" s="16" t="str">
        <f>IFERROR(VLOOKUP(WEkEO[[#This Row],['#]],Table5[[current WEkEO dataset]:[Proposed new WEkEO Collection ID]],3,FALSE),"-") &amp; " / " &amp; IFERROR(VLOOKUP(WEkEO[[#This Row],['#]],Table5[[current WEkEO dataset]:[Proposed new WEkEO Collection ID]],6,FALSE),"-")</f>
        <v>CLMS / clms_vlcc_main-crop-emergence_europe_10m_yearly_v1</v>
      </c>
      <c r="G93" s="16" t="str">
        <f>IFERROR(VLOOKUP(WEkEO[[#This Row],['#]],Table5[[current WEkEO dataset]:[Proposed new WEkEO Collection ID]],8,FALSE),"-")</f>
        <v>EO:CLMS:CDSE:CRP</v>
      </c>
      <c r="H93" s="1" t="s">
        <v>22</v>
      </c>
    </row>
    <row r="94" spans="1:8">
      <c r="A94" s="1">
        <f t="shared" si="1"/>
        <v>93</v>
      </c>
      <c r="B94" s="1" t="s">
        <v>83</v>
      </c>
      <c r="C94" s="1" t="s">
        <v>102</v>
      </c>
      <c r="D94" s="2" t="s">
        <v>20</v>
      </c>
      <c r="E94" s="8" t="s">
        <v>85</v>
      </c>
      <c r="F94" s="16" t="str">
        <f>IFERROR(VLOOKUP(WEkEO[[#This Row],['#]],Table5[[current WEkEO dataset]:[Proposed new WEkEO Collection ID]],3,FALSE),"-") &amp; " / " &amp; IFERROR(VLOOKUP(WEkEO[[#This Row],['#]],Table5[[current WEkEO dataset]:[Proposed new WEkEO Collection ID]],6,FALSE),"-")</f>
        <v>CLMS / clms_vlcc_main-crop-emergence-confidence-layer_europe_10m_yearly_v1</v>
      </c>
      <c r="G94" s="16" t="str">
        <f>IFERROR(VLOOKUP(WEkEO[[#This Row],['#]],Table5[[current WEkEO dataset]:[Proposed new WEkEO Collection ID]],8,FALSE),"-")</f>
        <v>EO:CLMS:CDSE:CRP</v>
      </c>
      <c r="H94" s="1" t="s">
        <v>22</v>
      </c>
    </row>
    <row r="95" spans="1:8">
      <c r="A95" s="1">
        <f t="shared" si="1"/>
        <v>94</v>
      </c>
      <c r="B95" s="1" t="s">
        <v>83</v>
      </c>
      <c r="C95" s="1" t="s">
        <v>103</v>
      </c>
      <c r="D95" s="2" t="s">
        <v>20</v>
      </c>
      <c r="E95" s="8" t="s">
        <v>85</v>
      </c>
      <c r="F95" s="16" t="str">
        <f>IFERROR(VLOOKUP(WEkEO[[#This Row],['#]],Table5[[current WEkEO dataset]:[Proposed new WEkEO Collection ID]],3,FALSE),"-") &amp; " / " &amp; IFERROR(VLOOKUP(WEkEO[[#This Row],['#]],Table5[[current WEkEO dataset]:[Proposed new WEkEO Collection ID]],6,FALSE),"-")</f>
        <v>CLMS / clms_vlcc_main-crop-harvest-confidence-layer_europe_10m_yearly_v1</v>
      </c>
      <c r="G95" s="16" t="str">
        <f>IFERROR(VLOOKUP(WEkEO[[#This Row],['#]],Table5[[current WEkEO dataset]:[Proposed new WEkEO Collection ID]],8,FALSE),"-")</f>
        <v>EO:CLMS:CDSE:CRP</v>
      </c>
      <c r="H95" s="1" t="s">
        <v>22</v>
      </c>
    </row>
    <row r="96" spans="1:8">
      <c r="A96" s="1">
        <f t="shared" si="1"/>
        <v>95</v>
      </c>
      <c r="B96" s="1" t="s">
        <v>83</v>
      </c>
      <c r="C96" s="1" t="s">
        <v>104</v>
      </c>
      <c r="D96" s="2" t="s">
        <v>20</v>
      </c>
      <c r="E96" s="8" t="s">
        <v>85</v>
      </c>
      <c r="F96" s="16" t="str">
        <f>IFERROR(VLOOKUP(WEkEO[[#This Row],['#]],Table5[[current WEkEO dataset]:[Proposed new WEkEO Collection ID]],3,FALSE),"-") &amp; " / " &amp; IFERROR(VLOOKUP(WEkEO[[#This Row],['#]],Table5[[current WEkEO dataset]:[Proposed new WEkEO Collection ID]],6,FALSE),"-")</f>
        <v>CLMS / clms_vlcc_main-crop-harvest_europe_10m_yearly_v1</v>
      </c>
      <c r="G96" s="16" t="str">
        <f>IFERROR(VLOOKUP(WEkEO[[#This Row],['#]],Table5[[current WEkEO dataset]:[Proposed new WEkEO Collection ID]],8,FALSE),"-")</f>
        <v>EO:CLMS:CDSE:CRP</v>
      </c>
      <c r="H96" s="1" t="s">
        <v>22</v>
      </c>
    </row>
    <row r="97" spans="1:8">
      <c r="A97" s="1">
        <f t="shared" si="1"/>
        <v>96</v>
      </c>
      <c r="B97" s="1" t="s">
        <v>83</v>
      </c>
      <c r="C97" s="1" t="s">
        <v>105</v>
      </c>
      <c r="D97" s="2" t="s">
        <v>20</v>
      </c>
      <c r="E97" s="8" t="s">
        <v>85</v>
      </c>
      <c r="F97" s="16" t="str">
        <f>IFERROR(VLOOKUP(WEkEO[[#This Row],['#]],Table5[[current WEkEO dataset]:[Proposed new WEkEO Collection ID]],3,FALSE),"-") &amp; " / " &amp; IFERROR(VLOOKUP(WEkEO[[#This Row],['#]],Table5[[current WEkEO dataset]:[Proposed new WEkEO Collection ID]],6,FALSE),"-")</f>
        <v>CLMS / clms_vlcc_secondary-crop-duration_europe_10m_yearly_v1</v>
      </c>
      <c r="G97" s="16" t="str">
        <f>IFERROR(VLOOKUP(WEkEO[[#This Row],['#]],Table5[[current WEkEO dataset]:[Proposed new WEkEO Collection ID]],8,FALSE),"-")</f>
        <v>EO:CLMS:CDSE:CRP</v>
      </c>
      <c r="H97" s="1" t="s">
        <v>22</v>
      </c>
    </row>
    <row r="98" spans="1:8">
      <c r="A98" s="1">
        <f t="shared" si="1"/>
        <v>97</v>
      </c>
      <c r="B98" s="1" t="s">
        <v>83</v>
      </c>
      <c r="C98" s="1" t="s">
        <v>106</v>
      </c>
      <c r="D98" s="2" t="s">
        <v>20</v>
      </c>
      <c r="E98" s="8" t="s">
        <v>85</v>
      </c>
      <c r="F98" s="16" t="str">
        <f>IFERROR(VLOOKUP(WEkEO[[#This Row],['#]],Table5[[current WEkEO dataset]:[Proposed new WEkEO Collection ID]],3,FALSE),"-") &amp; " / " &amp; IFERROR(VLOOKUP(WEkEO[[#This Row],['#]],Table5[[current WEkEO dataset]:[Proposed new WEkEO Collection ID]],6,FALSE),"-")</f>
        <v>CLMS / clms_vlcc_secondary-crop-duration-confidence-layer_europe_10m_yearly_v1</v>
      </c>
      <c r="G98" s="16" t="str">
        <f>IFERROR(VLOOKUP(WEkEO[[#This Row],['#]],Table5[[current WEkEO dataset]:[Proposed new WEkEO Collection ID]],8,FALSE),"-")</f>
        <v>EO:CLMS:CDSE:CRP</v>
      </c>
      <c r="H98" s="1" t="s">
        <v>22</v>
      </c>
    </row>
    <row r="99" spans="1:8">
      <c r="A99" s="1">
        <f t="shared" si="1"/>
        <v>98</v>
      </c>
      <c r="B99" s="1" t="s">
        <v>83</v>
      </c>
      <c r="C99" s="1" t="s">
        <v>107</v>
      </c>
      <c r="D99" s="2" t="s">
        <v>20</v>
      </c>
      <c r="E99" s="8" t="s">
        <v>85</v>
      </c>
      <c r="F99" s="16" t="str">
        <f>IFERROR(VLOOKUP(WEkEO[[#This Row],['#]],Table5[[current WEkEO dataset]:[Proposed new WEkEO Collection ID]],3,FALSE),"-") &amp; " / " &amp; IFERROR(VLOOKUP(WEkEO[[#This Row],['#]],Table5[[current WEkEO dataset]:[Proposed new WEkEO Collection ID]],6,FALSE),"-")</f>
        <v>CLMS / clms_vlcc_secondary-crop-emergence_europe_10m_yearly_v1</v>
      </c>
      <c r="G99" s="16" t="str">
        <f>IFERROR(VLOOKUP(WEkEO[[#This Row],['#]],Table5[[current WEkEO dataset]:[Proposed new WEkEO Collection ID]],8,FALSE),"-")</f>
        <v>EO:CLMS:CDSE:CRP</v>
      </c>
      <c r="H99" s="1" t="s">
        <v>22</v>
      </c>
    </row>
    <row r="100" spans="1:8">
      <c r="A100" s="1">
        <f t="shared" si="1"/>
        <v>99</v>
      </c>
      <c r="B100" s="1" t="s">
        <v>83</v>
      </c>
      <c r="C100" s="1" t="s">
        <v>108</v>
      </c>
      <c r="D100" s="2" t="s">
        <v>20</v>
      </c>
      <c r="E100" s="8" t="s">
        <v>85</v>
      </c>
      <c r="F100" s="16" t="str">
        <f>IFERROR(VLOOKUP(WEkEO[[#This Row],['#]],Table5[[current WEkEO dataset]:[Proposed new WEkEO Collection ID]],3,FALSE),"-") &amp; " / " &amp; IFERROR(VLOOKUP(WEkEO[[#This Row],['#]],Table5[[current WEkEO dataset]:[Proposed new WEkEO Collection ID]],6,FALSE),"-")</f>
        <v>CLMS / clms_vlcc_secondary-crop-types_europe_10m_yearly_v1</v>
      </c>
      <c r="G100" s="16" t="str">
        <f>IFERROR(VLOOKUP(WEkEO[[#This Row],['#]],Table5[[current WEkEO dataset]:[Proposed new WEkEO Collection ID]],8,FALSE),"-")</f>
        <v>EO:CLMS:CDSE:CRP</v>
      </c>
      <c r="H100" s="1" t="s">
        <v>22</v>
      </c>
    </row>
    <row r="101" spans="1:8">
      <c r="A101" s="1">
        <f t="shared" si="1"/>
        <v>100</v>
      </c>
      <c r="B101" s="1" t="s">
        <v>109</v>
      </c>
      <c r="C101" s="1" t="s">
        <v>110</v>
      </c>
      <c r="D101" s="2" t="s">
        <v>20</v>
      </c>
      <c r="E101" s="8" t="s">
        <v>85</v>
      </c>
      <c r="F101" s="16" t="str">
        <f>IFERROR(VLOOKUP(WEkEO[[#This Row],['#]],Table5[[current WEkEO dataset]:[Proposed new WEkEO Collection ID]],3,FALSE),"-") &amp; " / " &amp; IFERROR(VLOOKUP(WEkEO[[#This Row],['#]],Table5[[current WEkEO dataset]:[Proposed new WEkEO Collection ID]],6,FALSE),"-")</f>
        <v>CLMS / clms_vlcc_grassland_europe_10m_yearly_v1</v>
      </c>
      <c r="G101" s="16" t="str">
        <f>IFERROR(VLOOKUP(WEkEO[[#This Row],['#]],Table5[[current WEkEO dataset]:[Proposed new WEkEO Collection ID]],8,FALSE),"-")</f>
        <v>EO:CLMS:CDSE:GRA</v>
      </c>
      <c r="H101" s="1" t="s">
        <v>22</v>
      </c>
    </row>
    <row r="102" spans="1:8">
      <c r="A102" s="1">
        <f t="shared" si="1"/>
        <v>101</v>
      </c>
      <c r="B102" s="1" t="s">
        <v>109</v>
      </c>
      <c r="C102" s="1" t="s">
        <v>110</v>
      </c>
      <c r="D102" s="2" t="s">
        <v>111</v>
      </c>
      <c r="E102" s="8" t="s">
        <v>85</v>
      </c>
      <c r="F102" s="16" t="str">
        <f>IFERROR(VLOOKUP(WEkEO[[#This Row],['#]],Table5[[current WEkEO dataset]:[Proposed new WEkEO Collection ID]],3,FALSE),"-") &amp; " / " &amp; IFERROR(VLOOKUP(WEkEO[[#This Row],['#]],Table5[[current WEkEO dataset]:[Proposed new WEkEO Collection ID]],6,FALSE),"-")</f>
        <v>CLMS / clms_vlcc_grassland_europe_100m_yearly_v1</v>
      </c>
      <c r="G102" s="16" t="str">
        <f>IFERROR(VLOOKUP(WEkEO[[#This Row],['#]],Table5[[current WEkEO dataset]:[Proposed new WEkEO Collection ID]],8,FALSE),"-")</f>
        <v>EO:CLMS:CDSE:GRA</v>
      </c>
      <c r="H102" s="1" t="s">
        <v>22</v>
      </c>
    </row>
    <row r="103" spans="1:8">
      <c r="A103" s="1">
        <f t="shared" si="1"/>
        <v>102</v>
      </c>
      <c r="B103" s="1" t="s">
        <v>109</v>
      </c>
      <c r="C103" s="1" t="s">
        <v>110</v>
      </c>
      <c r="D103" s="2" t="s">
        <v>111</v>
      </c>
      <c r="E103" s="8">
        <v>2015</v>
      </c>
      <c r="F103" s="16" t="str">
        <f>IFERROR(VLOOKUP(WEkEO[[#This Row],['#]],Table5[[current WEkEO dataset]:[Proposed new WEkEO Collection ID]],3,FALSE),"-") &amp; " / " &amp; IFERROR(VLOOKUP(WEkEO[[#This Row],['#]],Table5[[current WEkEO dataset]:[Proposed new WEkEO Collection ID]],6,FALSE),"-")</f>
        <v>- / -</v>
      </c>
      <c r="G103" s="16" t="str">
        <f>IFERROR(VLOOKUP(WEkEO[[#This Row],['#]],Table5[[current WEkEO dataset]:[Proposed new WEkEO Collection ID]],8,FALSE),"-")</f>
        <v>-</v>
      </c>
      <c r="H103" s="1" t="s">
        <v>21</v>
      </c>
    </row>
    <row r="104" spans="1:8">
      <c r="A104" s="1">
        <f t="shared" si="1"/>
        <v>103</v>
      </c>
      <c r="B104" s="1" t="s">
        <v>109</v>
      </c>
      <c r="C104" s="1" t="s">
        <v>110</v>
      </c>
      <c r="D104" s="2" t="s">
        <v>112</v>
      </c>
      <c r="E104" s="8">
        <v>2015</v>
      </c>
      <c r="F104" s="16" t="str">
        <f>IFERROR(VLOOKUP(WEkEO[[#This Row],['#]],Table5[[current WEkEO dataset]:[Proposed new WEkEO Collection ID]],3,FALSE),"-") &amp; " / " &amp; IFERROR(VLOOKUP(WEkEO[[#This Row],['#]],Table5[[current WEkEO dataset]:[Proposed new WEkEO Collection ID]],6,FALSE),"-")</f>
        <v>- / -</v>
      </c>
      <c r="G104" s="16" t="str">
        <f>IFERROR(VLOOKUP(WEkEO[[#This Row],['#]],Table5[[current WEkEO dataset]:[Proposed new WEkEO Collection ID]],8,FALSE),"-")</f>
        <v>-</v>
      </c>
      <c r="H104" s="1" t="s">
        <v>21</v>
      </c>
    </row>
    <row r="105" spans="1:8">
      <c r="A105" s="1">
        <f t="shared" si="1"/>
        <v>104</v>
      </c>
      <c r="B105" s="1" t="s">
        <v>109</v>
      </c>
      <c r="C105" s="1" t="s">
        <v>113</v>
      </c>
      <c r="D105" s="2" t="s">
        <v>112</v>
      </c>
      <c r="E105" s="8" t="s">
        <v>114</v>
      </c>
      <c r="F105" s="16" t="str">
        <f>IFERROR(VLOOKUP(WEkEO[[#This Row],['#]],Table5[[current WEkEO dataset]:[Proposed new WEkEO Collection ID]],3,FALSE),"-") &amp; " / " &amp; IFERROR(VLOOKUP(WEkEO[[#This Row],['#]],Table5[[current WEkEO dataset]:[Proposed new WEkEO Collection ID]],6,FALSE),"-")</f>
        <v>- / -</v>
      </c>
      <c r="G105" s="16" t="str">
        <f>IFERROR(VLOOKUP(WEkEO[[#This Row],['#]],Table5[[current WEkEO dataset]:[Proposed new WEkEO Collection ID]],8,FALSE),"-")</f>
        <v>-</v>
      </c>
      <c r="H105" s="1" t="s">
        <v>21</v>
      </c>
    </row>
    <row r="106" spans="1:8">
      <c r="A106" s="1">
        <f t="shared" si="1"/>
        <v>105</v>
      </c>
      <c r="B106" s="1" t="s">
        <v>109</v>
      </c>
      <c r="C106" s="1" t="s">
        <v>113</v>
      </c>
      <c r="D106" s="2" t="s">
        <v>112</v>
      </c>
      <c r="E106" s="8" t="s">
        <v>115</v>
      </c>
      <c r="F106" s="16" t="str">
        <f>IFERROR(VLOOKUP(WEkEO[[#This Row],['#]],Table5[[current WEkEO dataset]:[Proposed new WEkEO Collection ID]],3,FALSE),"-") &amp; " / " &amp; IFERROR(VLOOKUP(WEkEO[[#This Row],['#]],Table5[[current WEkEO dataset]:[Proposed new WEkEO Collection ID]],6,FALSE),"-")</f>
        <v>CLMS / clms_vlcc_grassland-change_europe_20m_3yearly_v1</v>
      </c>
      <c r="G106" s="16" t="str">
        <f>IFERROR(VLOOKUP(WEkEO[[#This Row],['#]],Table5[[current WEkEO dataset]:[Proposed new WEkEO Collection ID]],8,FALSE),"-")</f>
        <v>EO:CLMS:CDSE:GRA</v>
      </c>
      <c r="H106" s="1" t="s">
        <v>22</v>
      </c>
    </row>
    <row r="107" spans="1:8">
      <c r="A107" s="1">
        <f t="shared" si="1"/>
        <v>106</v>
      </c>
      <c r="B107" s="1" t="s">
        <v>109</v>
      </c>
      <c r="C107" s="1" t="s">
        <v>116</v>
      </c>
      <c r="D107" s="2" t="s">
        <v>112</v>
      </c>
      <c r="E107" s="8" t="s">
        <v>115</v>
      </c>
      <c r="F107" s="16" t="str">
        <f>IFERROR(VLOOKUP(WEkEO[[#This Row],['#]],Table5[[current WEkEO dataset]:[Proposed new WEkEO Collection ID]],3,FALSE),"-") &amp; " / " &amp; IFERROR(VLOOKUP(WEkEO[[#This Row],['#]],Table5[[current WEkEO dataset]:[Proposed new WEkEO Collection ID]],6,FALSE),"-")</f>
        <v>CLMS / clms_vlcc_grassland-change-confidence-layer_europe_20m_3yearly_v1</v>
      </c>
      <c r="G107" s="16" t="s">
        <v>117</v>
      </c>
      <c r="H107" s="1" t="s">
        <v>22</v>
      </c>
    </row>
    <row r="108" spans="1:8">
      <c r="A108" s="1">
        <f t="shared" si="1"/>
        <v>107</v>
      </c>
      <c r="B108" s="1" t="s">
        <v>109</v>
      </c>
      <c r="C108" s="1" t="s">
        <v>118</v>
      </c>
      <c r="D108" s="2" t="s">
        <v>20</v>
      </c>
      <c r="E108" s="8" t="s">
        <v>85</v>
      </c>
      <c r="F108" s="16" t="str">
        <f>IFERROR(VLOOKUP(WEkEO[[#This Row],['#]],Table5[[current WEkEO dataset]:[Proposed new WEkEO Collection ID]],3,FALSE),"-") &amp; " / " &amp; IFERROR(VLOOKUP(WEkEO[[#This Row],['#]],Table5[[current WEkEO dataset]:[Proposed new WEkEO Collection ID]],6,FALSE),"-")</f>
        <v>CLMS / clms_vlcc_grassland-confidence-layer_europe_10m_yearly_v1</v>
      </c>
      <c r="G108" s="16" t="str">
        <f>IFERROR(VLOOKUP(WEkEO[[#This Row],['#]],Table5[[current WEkEO dataset]:[Proposed new WEkEO Collection ID]],8,FALSE),"-")</f>
        <v>EO:CLMS:CDSE:GRA</v>
      </c>
      <c r="H108" s="1" t="s">
        <v>22</v>
      </c>
    </row>
    <row r="109" spans="1:8">
      <c r="A109" s="1">
        <f t="shared" si="1"/>
        <v>108</v>
      </c>
      <c r="B109" s="1" t="s">
        <v>109</v>
      </c>
      <c r="C109" s="1" t="s">
        <v>119</v>
      </c>
      <c r="D109" s="2" t="s">
        <v>20</v>
      </c>
      <c r="E109" s="8" t="s">
        <v>85</v>
      </c>
      <c r="F109" s="16" t="s">
        <v>120</v>
      </c>
      <c r="G109" s="16" t="s">
        <v>121</v>
      </c>
      <c r="H109" s="1" t="s">
        <v>22</v>
      </c>
    </row>
    <row r="110" spans="1:8">
      <c r="A110" s="1">
        <f t="shared" si="1"/>
        <v>109</v>
      </c>
      <c r="B110" s="1" t="s">
        <v>109</v>
      </c>
      <c r="C110" s="1" t="s">
        <v>122</v>
      </c>
      <c r="D110" s="2" t="s">
        <v>20</v>
      </c>
      <c r="E110" s="8" t="s">
        <v>85</v>
      </c>
      <c r="F110" s="16" t="str">
        <f>IFERROR(VLOOKUP(WEkEO[[#This Row],['#]],Table5[[current WEkEO dataset]:[Proposed new WEkEO Collection ID]],3,FALSE),"-") &amp; " / " &amp; IFERROR(VLOOKUP(WEkEO[[#This Row],['#]],Table5[[current WEkEO dataset]:[Proposed new WEkEO Collection ID]],6,FALSE),"-")</f>
        <v>CLMS / clms_vlcc_grassland-mowing-events_europe_10m_yearly_v1</v>
      </c>
      <c r="G110" s="16" t="str">
        <f>IFERROR(VLOOKUP(WEkEO[[#This Row],['#]],Table5[[current WEkEO dataset]:[Proposed new WEkEO Collection ID]],8,FALSE),"-")</f>
        <v>EO:CLMS:CDSE:GRAM</v>
      </c>
      <c r="H110" s="1" t="s">
        <v>22</v>
      </c>
    </row>
    <row r="111" spans="1:8">
      <c r="A111" s="1">
        <f t="shared" si="1"/>
        <v>110</v>
      </c>
      <c r="B111" s="1" t="s">
        <v>109</v>
      </c>
      <c r="C111" s="1" t="s">
        <v>123</v>
      </c>
      <c r="D111" s="2" t="s">
        <v>20</v>
      </c>
      <c r="E111" s="8" t="s">
        <v>85</v>
      </c>
      <c r="F111" s="16" t="str">
        <f>IFERROR(VLOOKUP(WEkEO[[#This Row],['#]],Table5[[current WEkEO dataset]:[Proposed new WEkEO Collection ID]],3,FALSE),"-") &amp; " / " &amp; IFERROR(VLOOKUP(WEkEO[[#This Row],['#]],Table5[[current WEkEO dataset]:[Proposed new WEkEO Collection ID]],6,FALSE),"-")</f>
        <v>CLMS / clms_vlcc_grassland-mowing-events-confidence-layer_europe_10m_yearly_v1</v>
      </c>
      <c r="G111" s="16" t="str">
        <f>IFERROR(VLOOKUP(WEkEO[[#This Row],['#]],Table5[[current WEkEO dataset]:[Proposed new WEkEO Collection ID]],8,FALSE),"-")</f>
        <v>EO:CLMS:CDSE:GRAM</v>
      </c>
      <c r="H111" s="1" t="s">
        <v>22</v>
      </c>
    </row>
    <row r="112" spans="1:8">
      <c r="A112" s="1">
        <f t="shared" si="1"/>
        <v>111</v>
      </c>
      <c r="B112" s="1" t="s">
        <v>109</v>
      </c>
      <c r="C112" s="1" t="s">
        <v>124</v>
      </c>
      <c r="D112" s="2" t="s">
        <v>20</v>
      </c>
      <c r="E112" s="8" t="s">
        <v>85</v>
      </c>
      <c r="F112" s="16" t="str">
        <f>IFERROR(VLOOKUP(WEkEO[[#This Row],['#]],Table5[[current WEkEO dataset]:[Proposed new WEkEO Collection ID]],3,FALSE),"-") &amp; " / " &amp; IFERROR(VLOOKUP(WEkEO[[#This Row],['#]],Table5[[current WEkEO dataset]:[Proposed new WEkEO Collection ID]],6,FALSE),"-")</f>
        <v>CLMS / clms_vlcc_herbaceous-cover_europe_10m_yearly_v1</v>
      </c>
      <c r="G112" s="16" t="str">
        <f>IFERROR(VLOOKUP(WEkEO[[#This Row],['#]],Table5[[current WEkEO dataset]:[Proposed new WEkEO Collection ID]],8,FALSE),"-")</f>
        <v>EO:CLMS:CDSE:GRA</v>
      </c>
      <c r="H112" s="1" t="s">
        <v>22</v>
      </c>
    </row>
    <row r="113" spans="1:8">
      <c r="A113" s="1">
        <f t="shared" si="1"/>
        <v>112</v>
      </c>
      <c r="B113" s="1" t="s">
        <v>109</v>
      </c>
      <c r="C113" s="1" t="s">
        <v>125</v>
      </c>
      <c r="D113" s="2" t="s">
        <v>20</v>
      </c>
      <c r="E113" s="8" t="s">
        <v>85</v>
      </c>
      <c r="F113" s="16" t="str">
        <f>IFERROR(VLOOKUP(WEkEO[[#This Row],['#]],Table5[[current WEkEO dataset]:[Proposed new WEkEO Collection ID]],3,FALSE),"-") &amp; " / " &amp; IFERROR(VLOOKUP(WEkEO[[#This Row],['#]],Table5[[current WEkEO dataset]:[Proposed new WEkEO Collection ID]],6,FALSE),"-")</f>
        <v>CLMS / clms_vlcc_ploughing-indicator_europe_10m_yearly_v1</v>
      </c>
      <c r="G113" s="16" t="str">
        <f>IFERROR(VLOOKUP(WEkEO[[#This Row],['#]],Table5[[current WEkEO dataset]:[Proposed new WEkEO Collection ID]],8,FALSE),"-")</f>
        <v>EO:CLMS:CDSE:GRA</v>
      </c>
      <c r="H113" s="1" t="s">
        <v>22</v>
      </c>
    </row>
    <row r="114" spans="1:8">
      <c r="A114" s="1">
        <f t="shared" si="1"/>
        <v>113</v>
      </c>
      <c r="B114" s="1" t="s">
        <v>126</v>
      </c>
      <c r="C114" s="1" t="s">
        <v>127</v>
      </c>
      <c r="D114" s="2" t="s">
        <v>111</v>
      </c>
      <c r="E114" s="8" t="s">
        <v>114</v>
      </c>
      <c r="F114" s="16" t="str">
        <f>IFERROR(VLOOKUP(WEkEO[[#This Row],['#]],Table5[[current WEkEO dataset]:[Proposed new WEkEO Collection ID]],3,FALSE),"-") &amp; " / " &amp; IFERROR(VLOOKUP(WEkEO[[#This Row],['#]],Table5[[current WEkEO dataset]:[Proposed new WEkEO Collection ID]],6,FALSE),"-")</f>
        <v>- / -</v>
      </c>
      <c r="G114" s="16" t="str">
        <f>IFERROR(VLOOKUP(WEkEO[[#This Row],['#]],Table5[[current WEkEO dataset]:[Proposed new WEkEO Collection ID]],8,FALSE),"-")</f>
        <v>-</v>
      </c>
      <c r="H114" s="1" t="s">
        <v>21</v>
      </c>
    </row>
    <row r="115" spans="1:8">
      <c r="A115" s="1">
        <f t="shared" si="1"/>
        <v>114</v>
      </c>
      <c r="B115" s="1" t="s">
        <v>126</v>
      </c>
      <c r="C115" s="1" t="s">
        <v>127</v>
      </c>
      <c r="D115" s="2" t="s">
        <v>111</v>
      </c>
      <c r="E115" s="8" t="s">
        <v>128</v>
      </c>
      <c r="F115" s="16" t="str">
        <f>IFERROR(VLOOKUP(WEkEO[[#This Row],['#]],Table5[[current WEkEO dataset]:[Proposed new WEkEO Collection ID]],3,FALSE),"-") &amp; " / " &amp; IFERROR(VLOOKUP(WEkEO[[#This Row],['#]],Table5[[current WEkEO dataset]:[Proposed new WEkEO Collection ID]],6,FALSE),"-")</f>
        <v>- / -</v>
      </c>
      <c r="G115" s="16" t="str">
        <f>IFERROR(VLOOKUP(WEkEO[[#This Row],['#]],Table5[[current WEkEO dataset]:[Proposed new WEkEO Collection ID]],8,FALSE),"-")</f>
        <v>-</v>
      </c>
      <c r="H115" s="1" t="s">
        <v>21</v>
      </c>
    </row>
    <row r="116" spans="1:8">
      <c r="A116" s="1">
        <f t="shared" si="1"/>
        <v>115</v>
      </c>
      <c r="B116" s="1" t="s">
        <v>126</v>
      </c>
      <c r="C116" s="1" t="s">
        <v>127</v>
      </c>
      <c r="D116" s="2" t="s">
        <v>111</v>
      </c>
      <c r="E116" s="8" t="s">
        <v>115</v>
      </c>
      <c r="F116" s="16" t="str">
        <f>IFERROR(VLOOKUP(WEkEO[[#This Row],['#]],Table5[[current WEkEO dataset]:[Proposed new WEkEO Collection ID]],3,FALSE),"-") &amp; " / " &amp; IFERROR(VLOOKUP(WEkEO[[#This Row],['#]],Table5[[current WEkEO dataset]:[Proposed new WEkEO Collection ID]],6,FALSE),"-")</f>
        <v>- / -</v>
      </c>
      <c r="G116" s="16" t="str">
        <f>IFERROR(VLOOKUP(WEkEO[[#This Row],['#]],Table5[[current WEkEO dataset]:[Proposed new WEkEO Collection ID]],8,FALSE),"-")</f>
        <v>-</v>
      </c>
      <c r="H116" s="1" t="s">
        <v>22</v>
      </c>
    </row>
    <row r="117" spans="1:8">
      <c r="A117" s="1">
        <f t="shared" si="1"/>
        <v>116</v>
      </c>
      <c r="B117" s="1" t="s">
        <v>126</v>
      </c>
      <c r="C117" s="1" t="s">
        <v>127</v>
      </c>
      <c r="D117" s="2" t="s">
        <v>112</v>
      </c>
      <c r="E117" s="8" t="s">
        <v>114</v>
      </c>
      <c r="F117" s="16" t="str">
        <f>IFERROR(VLOOKUP(WEkEO[[#This Row],['#]],Table5[[current WEkEO dataset]:[Proposed new WEkEO Collection ID]],3,FALSE),"-") &amp; " / " &amp; IFERROR(VLOOKUP(WEkEO[[#This Row],['#]],Table5[[current WEkEO dataset]:[Proposed new WEkEO Collection ID]],6,FALSE),"-")</f>
        <v>- / -</v>
      </c>
      <c r="G117" s="16" t="str">
        <f>IFERROR(VLOOKUP(WEkEO[[#This Row],['#]],Table5[[current WEkEO dataset]:[Proposed new WEkEO Collection ID]],8,FALSE),"-")</f>
        <v>-</v>
      </c>
      <c r="H117" s="1" t="s">
        <v>21</v>
      </c>
    </row>
    <row r="118" spans="1:8">
      <c r="A118" s="1">
        <f t="shared" si="1"/>
        <v>117</v>
      </c>
      <c r="B118" s="1" t="s">
        <v>126</v>
      </c>
      <c r="C118" s="1" t="s">
        <v>127</v>
      </c>
      <c r="D118" s="2" t="s">
        <v>112</v>
      </c>
      <c r="E118" s="8" t="s">
        <v>128</v>
      </c>
      <c r="F118" s="16" t="str">
        <f>IFERROR(VLOOKUP(WEkEO[[#This Row],['#]],Table5[[current WEkEO dataset]:[Proposed new WEkEO Collection ID]],3,FALSE),"-") &amp; " / " &amp; IFERROR(VLOOKUP(WEkEO[[#This Row],['#]],Table5[[current WEkEO dataset]:[Proposed new WEkEO Collection ID]],6,FALSE),"-")</f>
        <v>- / -</v>
      </c>
      <c r="G118" s="16" t="str">
        <f>IFERROR(VLOOKUP(WEkEO[[#This Row],['#]],Table5[[current WEkEO dataset]:[Proposed new WEkEO Collection ID]],8,FALSE),"-")</f>
        <v>-</v>
      </c>
      <c r="H118" s="1" t="s">
        <v>21</v>
      </c>
    </row>
    <row r="119" spans="1:8">
      <c r="A119" s="1">
        <f t="shared" si="1"/>
        <v>118</v>
      </c>
      <c r="B119" s="1" t="s">
        <v>126</v>
      </c>
      <c r="C119" s="1" t="s">
        <v>127</v>
      </c>
      <c r="D119" s="2" t="s">
        <v>112</v>
      </c>
      <c r="E119" s="8" t="s">
        <v>115</v>
      </c>
      <c r="F119" s="16" t="str">
        <f>IFERROR(VLOOKUP(WEkEO[[#This Row],['#]],Table5[[current WEkEO dataset]:[Proposed new WEkEO Collection ID]],3,FALSE),"-") &amp; " / " &amp; IFERROR(VLOOKUP(WEkEO[[#This Row],['#]],Table5[[current WEkEO dataset]:[Proposed new WEkEO Collection ID]],6,FALSE),"-")</f>
        <v>- / -</v>
      </c>
      <c r="G119" s="16" t="str">
        <f>IFERROR(VLOOKUP(WEkEO[[#This Row],['#]],Table5[[current WEkEO dataset]:[Proposed new WEkEO Collection ID]],8,FALSE),"-")</f>
        <v>-</v>
      </c>
      <c r="H119" s="1" t="s">
        <v>22</v>
      </c>
    </row>
    <row r="120" spans="1:8">
      <c r="A120" s="1">
        <f t="shared" si="1"/>
        <v>119</v>
      </c>
      <c r="B120" s="1" t="s">
        <v>126</v>
      </c>
      <c r="C120" s="1" t="s">
        <v>129</v>
      </c>
      <c r="D120" s="2" t="s">
        <v>111</v>
      </c>
      <c r="E120" s="8" t="s">
        <v>130</v>
      </c>
      <c r="F120" s="16" t="str">
        <f>IFERROR(VLOOKUP(WEkEO[[#This Row],['#]],Table5[[current WEkEO dataset]:[Proposed new WEkEO Collection ID]],3,FALSE),"-") &amp; " / " &amp; IFERROR(VLOOKUP(WEkEO[[#This Row],['#]],Table5[[current WEkEO dataset]:[Proposed new WEkEO Collection ID]],6,FALSE),"-")</f>
        <v>- / -</v>
      </c>
      <c r="G120" s="16" t="str">
        <f>IFERROR(VLOOKUP(WEkEO[[#This Row],['#]],Table5[[current WEkEO dataset]:[Proposed new WEkEO Collection ID]],8,FALSE),"-")</f>
        <v>-</v>
      </c>
      <c r="H120" s="1" t="s">
        <v>21</v>
      </c>
    </row>
    <row r="121" spans="1:8">
      <c r="A121" s="1">
        <f t="shared" si="1"/>
        <v>120</v>
      </c>
      <c r="B121" s="1" t="s">
        <v>126</v>
      </c>
      <c r="C121" s="1" t="s">
        <v>129</v>
      </c>
      <c r="D121" s="2" t="s">
        <v>111</v>
      </c>
      <c r="E121" s="8">
        <v>2018</v>
      </c>
      <c r="F121" s="16" t="str">
        <f>IFERROR(VLOOKUP(WEkEO[[#This Row],['#]],Table5[[current WEkEO dataset]:[Proposed new WEkEO Collection ID]],3,FALSE),"-") &amp; " / " &amp; IFERROR(VLOOKUP(WEkEO[[#This Row],['#]],Table5[[current WEkEO dataset]:[Proposed new WEkEO Collection ID]],6,FALSE),"-")</f>
        <v>- / -</v>
      </c>
      <c r="G121" s="16" t="str">
        <f>IFERROR(VLOOKUP(WEkEO[[#This Row],['#]],Table5[[current WEkEO dataset]:[Proposed new WEkEO Collection ID]],8,FALSE),"-")</f>
        <v>-</v>
      </c>
      <c r="H121" s="1" t="s">
        <v>21</v>
      </c>
    </row>
    <row r="122" spans="1:8">
      <c r="A122" s="1">
        <f t="shared" si="1"/>
        <v>121</v>
      </c>
      <c r="B122" s="1" t="s">
        <v>126</v>
      </c>
      <c r="C122" s="1" t="s">
        <v>129</v>
      </c>
      <c r="D122" s="2" t="s">
        <v>111</v>
      </c>
      <c r="E122" s="8">
        <v>2021</v>
      </c>
      <c r="F122" s="16" t="str">
        <f>IFERROR(VLOOKUP(WEkEO[[#This Row],['#]],Table5[[current WEkEO dataset]:[Proposed new WEkEO Collection ID]],3,FALSE),"-") &amp; " / " &amp; IFERROR(VLOOKUP(WEkEO[[#This Row],['#]],Table5[[current WEkEO dataset]:[Proposed new WEkEO Collection ID]],6,FALSE),"-")</f>
        <v>- / -</v>
      </c>
      <c r="G122" s="16" t="str">
        <f>IFERROR(VLOOKUP(WEkEO[[#This Row],['#]],Table5[[current WEkEO dataset]:[Proposed new WEkEO Collection ID]],8,FALSE),"-")</f>
        <v>-</v>
      </c>
      <c r="H122" s="1" t="s">
        <v>22</v>
      </c>
    </row>
    <row r="123" spans="1:8">
      <c r="A123" s="1">
        <f t="shared" si="1"/>
        <v>122</v>
      </c>
      <c r="B123" s="1" t="s">
        <v>126</v>
      </c>
      <c r="C123" s="1" t="s">
        <v>129</v>
      </c>
      <c r="D123" s="2" t="s">
        <v>20</v>
      </c>
      <c r="E123" s="8">
        <v>2018</v>
      </c>
      <c r="F123" s="16" t="str">
        <f>IFERROR(VLOOKUP(WEkEO[[#This Row],['#]],Table5[[current WEkEO dataset]:[Proposed new WEkEO Collection ID]],3,FALSE),"-") &amp; " / " &amp; IFERROR(VLOOKUP(WEkEO[[#This Row],['#]],Table5[[current WEkEO dataset]:[Proposed new WEkEO Collection ID]],6,FALSE),"-")</f>
        <v>- / -</v>
      </c>
      <c r="G123" s="16" t="str">
        <f>IFERROR(VLOOKUP(WEkEO[[#This Row],['#]],Table5[[current WEkEO dataset]:[Proposed new WEkEO Collection ID]],8,FALSE),"-")</f>
        <v>-</v>
      </c>
      <c r="H123" s="1" t="s">
        <v>21</v>
      </c>
    </row>
    <row r="124" spans="1:8">
      <c r="A124" s="1">
        <f t="shared" si="1"/>
        <v>123</v>
      </c>
      <c r="B124" s="1" t="s">
        <v>126</v>
      </c>
      <c r="C124" s="1" t="s">
        <v>129</v>
      </c>
      <c r="D124" s="2" t="s">
        <v>20</v>
      </c>
      <c r="E124" s="8">
        <v>2021</v>
      </c>
      <c r="F124" s="16" t="str">
        <f>IFERROR(VLOOKUP(WEkEO[[#This Row],['#]],Table5[[current WEkEO dataset]:[Proposed new WEkEO Collection ID]],3,FALSE),"-") &amp; " / " &amp; IFERROR(VLOOKUP(WEkEO[[#This Row],['#]],Table5[[current WEkEO dataset]:[Proposed new WEkEO Collection ID]],6,FALSE),"-")</f>
        <v>- / -</v>
      </c>
      <c r="G124" s="16" t="str">
        <f>IFERROR(VLOOKUP(WEkEO[[#This Row],['#]],Table5[[current WEkEO dataset]:[Proposed new WEkEO Collection ID]],8,FALSE),"-")</f>
        <v>-</v>
      </c>
      <c r="H124" s="1" t="s">
        <v>22</v>
      </c>
    </row>
    <row r="125" spans="1:8">
      <c r="A125" s="1">
        <f t="shared" si="1"/>
        <v>124</v>
      </c>
      <c r="B125" s="1" t="s">
        <v>126</v>
      </c>
      <c r="C125" s="1" t="s">
        <v>129</v>
      </c>
      <c r="D125" s="2" t="s">
        <v>112</v>
      </c>
      <c r="E125" s="8" t="s">
        <v>130</v>
      </c>
      <c r="F125" s="16" t="str">
        <f>IFERROR(VLOOKUP(WEkEO[[#This Row],['#]],Table5[[current WEkEO dataset]:[Proposed new WEkEO Collection ID]],3,FALSE),"-") &amp; " / " &amp; IFERROR(VLOOKUP(WEkEO[[#This Row],['#]],Table5[[current WEkEO dataset]:[Proposed new WEkEO Collection ID]],6,FALSE),"-")</f>
        <v>- / -</v>
      </c>
      <c r="G125" s="16" t="str">
        <f>IFERROR(VLOOKUP(WEkEO[[#This Row],['#]],Table5[[current WEkEO dataset]:[Proposed new WEkEO Collection ID]],8,FALSE),"-")</f>
        <v>-</v>
      </c>
      <c r="H125" s="1" t="s">
        <v>21</v>
      </c>
    </row>
    <row r="126" spans="1:8">
      <c r="A126" s="1">
        <f t="shared" si="1"/>
        <v>125</v>
      </c>
      <c r="B126" s="1" t="s">
        <v>126</v>
      </c>
      <c r="C126" s="1" t="s">
        <v>131</v>
      </c>
      <c r="D126" s="2" t="s">
        <v>20</v>
      </c>
      <c r="E126" s="8">
        <v>2018</v>
      </c>
      <c r="F126" s="16" t="str">
        <f>IFERROR(VLOOKUP(WEkEO[[#This Row],['#]],Table5[[current WEkEO dataset]:[Proposed new WEkEO Collection ID]],3,FALSE),"-") &amp; " / " &amp; IFERROR(VLOOKUP(WEkEO[[#This Row],['#]],Table5[[current WEkEO dataset]:[Proposed new WEkEO Collection ID]],6,FALSE),"-")</f>
        <v>- / -</v>
      </c>
      <c r="G126" s="16" t="str">
        <f>IFERROR(VLOOKUP(WEkEO[[#This Row],['#]],Table5[[current WEkEO dataset]:[Proposed new WEkEO Collection ID]],8,FALSE),"-")</f>
        <v>-</v>
      </c>
      <c r="H126" s="1" t="s">
        <v>21</v>
      </c>
    </row>
    <row r="127" spans="1:8">
      <c r="A127" s="1">
        <f t="shared" si="1"/>
        <v>126</v>
      </c>
      <c r="B127" s="1" t="s">
        <v>126</v>
      </c>
      <c r="C127" s="1" t="s">
        <v>131</v>
      </c>
      <c r="D127" s="2" t="s">
        <v>20</v>
      </c>
      <c r="E127" s="8">
        <v>2021</v>
      </c>
      <c r="F127" s="16" t="str">
        <f>IFERROR(VLOOKUP(WEkEO[[#This Row],['#]],Table5[[current WEkEO dataset]:[Proposed new WEkEO Collection ID]],3,FALSE),"-") &amp; " / " &amp; IFERROR(VLOOKUP(WEkEO[[#This Row],['#]],Table5[[current WEkEO dataset]:[Proposed new WEkEO Collection ID]],6,FALSE),"-")</f>
        <v>- / -</v>
      </c>
      <c r="G127" s="16" t="str">
        <f>IFERROR(VLOOKUP(WEkEO[[#This Row],['#]],Table5[[current WEkEO dataset]:[Proposed new WEkEO Collection ID]],8,FALSE),"-")</f>
        <v>-</v>
      </c>
      <c r="H127" s="1" t="s">
        <v>22</v>
      </c>
    </row>
    <row r="128" spans="1:8">
      <c r="A128" s="1">
        <f t="shared" si="1"/>
        <v>127</v>
      </c>
      <c r="B128" s="1" t="s">
        <v>126</v>
      </c>
      <c r="C128" s="1" t="s">
        <v>132</v>
      </c>
      <c r="D128" s="2" t="s">
        <v>112</v>
      </c>
      <c r="E128" s="8" t="s">
        <v>115</v>
      </c>
      <c r="F128" s="16" t="str">
        <f>IFERROR(VLOOKUP(WEkEO[[#This Row],['#]],Table5[[current WEkEO dataset]:[Proposed new WEkEO Collection ID]],3,FALSE),"-") &amp; " / " &amp; IFERROR(VLOOKUP(WEkEO[[#This Row],['#]],Table5[[current WEkEO dataset]:[Proposed new WEkEO Collection ID]],6,FALSE),"-")</f>
        <v>- / -</v>
      </c>
      <c r="G128" s="16" t="str">
        <f>IFERROR(VLOOKUP(WEkEO[[#This Row],['#]],Table5[[current WEkEO dataset]:[Proposed new WEkEO Collection ID]],8,FALSE),"-")</f>
        <v>-</v>
      </c>
      <c r="H128" s="1" t="s">
        <v>22</v>
      </c>
    </row>
    <row r="129" spans="1:8">
      <c r="A129" s="1">
        <f t="shared" si="1"/>
        <v>128</v>
      </c>
      <c r="B129" s="1" t="s">
        <v>126</v>
      </c>
      <c r="C129" s="1" t="s">
        <v>133</v>
      </c>
      <c r="D129" s="2" t="s">
        <v>112</v>
      </c>
      <c r="E129" s="8" t="s">
        <v>115</v>
      </c>
      <c r="F129" s="16" t="str">
        <f>IFERROR(VLOOKUP(WEkEO[[#This Row],['#]],Table5[[current WEkEO dataset]:[Proposed new WEkEO Collection ID]],3,FALSE),"-") &amp; " / " &amp; IFERROR(VLOOKUP(WEkEO[[#This Row],['#]],Table5[[current WEkEO dataset]:[Proposed new WEkEO Collection ID]],6,FALSE),"-")</f>
        <v>- / -</v>
      </c>
      <c r="G129" s="16" t="str">
        <f>IFERROR(VLOOKUP(WEkEO[[#This Row],['#]],Table5[[current WEkEO dataset]:[Proposed new WEkEO Collection ID]],8,FALSE),"-")</f>
        <v>-</v>
      </c>
      <c r="H129" s="1" t="s">
        <v>22</v>
      </c>
    </row>
    <row r="130" spans="1:8">
      <c r="A130" s="1">
        <f t="shared" si="1"/>
        <v>129</v>
      </c>
      <c r="B130" s="1" t="s">
        <v>126</v>
      </c>
      <c r="C130" s="1" t="s">
        <v>134</v>
      </c>
      <c r="D130" s="2" t="s">
        <v>20</v>
      </c>
      <c r="E130" s="8">
        <v>2021</v>
      </c>
      <c r="F130" s="16" t="str">
        <f>IFERROR(VLOOKUP(WEkEO[[#This Row],['#]],Table5[[current WEkEO dataset]:[Proposed new WEkEO Collection ID]],3,FALSE),"-") &amp; " / " &amp; IFERROR(VLOOKUP(WEkEO[[#This Row],['#]],Table5[[current WEkEO dataset]:[Proposed new WEkEO Collection ID]],6,FALSE),"-")</f>
        <v>- / -</v>
      </c>
      <c r="G130" s="16" t="str">
        <f>IFERROR(VLOOKUP(WEkEO[[#This Row],['#]],Table5[[current WEkEO dataset]:[Proposed new WEkEO Collection ID]],8,FALSE),"-")</f>
        <v>-</v>
      </c>
      <c r="H130" s="1" t="s">
        <v>22</v>
      </c>
    </row>
    <row r="131" spans="1:8">
      <c r="A131" s="1">
        <f t="shared" si="1"/>
        <v>130</v>
      </c>
      <c r="B131" s="1" t="s">
        <v>126</v>
      </c>
      <c r="C131" s="1" t="s">
        <v>135</v>
      </c>
      <c r="D131" s="2" t="s">
        <v>112</v>
      </c>
      <c r="E131" s="8" t="s">
        <v>115</v>
      </c>
      <c r="F131" s="16" t="str">
        <f>IFERROR(VLOOKUP(WEkEO[[#This Row],['#]],Table5[[current WEkEO dataset]:[Proposed new WEkEO Collection ID]],3,FALSE),"-") &amp; " / " &amp; IFERROR(VLOOKUP(WEkEO[[#This Row],['#]],Table5[[current WEkEO dataset]:[Proposed new WEkEO Collection ID]],6,FALSE),"-")</f>
        <v>- / -</v>
      </c>
      <c r="G131" s="16" t="str">
        <f>IFERROR(VLOOKUP(WEkEO[[#This Row],['#]],Table5[[current WEkEO dataset]:[Proposed new WEkEO Collection ID]],8,FALSE),"-")</f>
        <v>-</v>
      </c>
      <c r="H131" s="1" t="s">
        <v>22</v>
      </c>
    </row>
    <row r="132" spans="1:8">
      <c r="A132" s="1">
        <f t="shared" ref="A132:A178" si="2">A131+1</f>
        <v>131</v>
      </c>
      <c r="B132" s="1" t="s">
        <v>126</v>
      </c>
      <c r="C132" s="1" t="s">
        <v>135</v>
      </c>
      <c r="D132" s="2" t="s">
        <v>112</v>
      </c>
      <c r="E132" s="8" t="s">
        <v>114</v>
      </c>
      <c r="F132" s="16" t="str">
        <f>IFERROR(VLOOKUP(WEkEO[[#This Row],['#]],Table5[[current WEkEO dataset]:[Proposed new WEkEO Collection ID]],3,FALSE),"-") &amp; " / " &amp; IFERROR(VLOOKUP(WEkEO[[#This Row],['#]],Table5[[current WEkEO dataset]:[Proposed new WEkEO Collection ID]],6,FALSE),"-")</f>
        <v>- / -</v>
      </c>
      <c r="G132" s="16" t="str">
        <f>IFERROR(VLOOKUP(WEkEO[[#This Row],['#]],Table5[[current WEkEO dataset]:[Proposed new WEkEO Collection ID]],8,FALSE),"-")</f>
        <v>-</v>
      </c>
      <c r="H132" s="1" t="s">
        <v>21</v>
      </c>
    </row>
    <row r="133" spans="1:8">
      <c r="A133" s="1">
        <f t="shared" si="2"/>
        <v>132</v>
      </c>
      <c r="B133" s="1" t="s">
        <v>126</v>
      </c>
      <c r="C133" s="1" t="s">
        <v>135</v>
      </c>
      <c r="D133" s="2" t="s">
        <v>112</v>
      </c>
      <c r="E133" s="8" t="s">
        <v>128</v>
      </c>
      <c r="F133" s="16" t="str">
        <f>IFERROR(VLOOKUP(WEkEO[[#This Row],['#]],Table5[[current WEkEO dataset]:[Proposed new WEkEO Collection ID]],3,FALSE),"-") &amp; " / " &amp; IFERROR(VLOOKUP(WEkEO[[#This Row],['#]],Table5[[current WEkEO dataset]:[Proposed new WEkEO Collection ID]],6,FALSE),"-")</f>
        <v>- / -</v>
      </c>
      <c r="G133" s="16" t="str">
        <f>IFERROR(VLOOKUP(WEkEO[[#This Row],['#]],Table5[[current WEkEO dataset]:[Proposed new WEkEO Collection ID]],8,FALSE),"-")</f>
        <v>-</v>
      </c>
      <c r="H133" s="1" t="s">
        <v>21</v>
      </c>
    </row>
    <row r="134" spans="1:8">
      <c r="A134" s="1">
        <f t="shared" si="2"/>
        <v>133</v>
      </c>
      <c r="B134" s="1" t="s">
        <v>126</v>
      </c>
      <c r="C134" s="1" t="s">
        <v>136</v>
      </c>
      <c r="D134" s="2" t="s">
        <v>112</v>
      </c>
      <c r="E134" s="8" t="s">
        <v>115</v>
      </c>
      <c r="F134" s="16" t="str">
        <f>IFERROR(VLOOKUP(WEkEO[[#This Row],['#]],Table5[[current WEkEO dataset]:[Proposed new WEkEO Collection ID]],3,FALSE),"-") &amp; " / " &amp; IFERROR(VLOOKUP(WEkEO[[#This Row],['#]],Table5[[current WEkEO dataset]:[Proposed new WEkEO Collection ID]],6,FALSE),"-")</f>
        <v>- / -</v>
      </c>
      <c r="G134" s="16" t="str">
        <f>IFERROR(VLOOKUP(WEkEO[[#This Row],['#]],Table5[[current WEkEO dataset]:[Proposed new WEkEO Collection ID]],8,FALSE),"-")</f>
        <v>-</v>
      </c>
      <c r="H134" s="1" t="s">
        <v>22</v>
      </c>
    </row>
    <row r="135" spans="1:8">
      <c r="A135" s="1">
        <f t="shared" si="2"/>
        <v>134</v>
      </c>
      <c r="B135" s="1" t="s">
        <v>126</v>
      </c>
      <c r="C135" s="1" t="s">
        <v>137</v>
      </c>
      <c r="D135" s="2" t="s">
        <v>111</v>
      </c>
      <c r="E135" s="8" t="s">
        <v>115</v>
      </c>
      <c r="F135" s="16" t="str">
        <f>IFERROR(VLOOKUP(WEkEO[[#This Row],['#]],Table5[[current WEkEO dataset]:[Proposed new WEkEO Collection ID]],3,FALSE),"-") &amp; " / " &amp; IFERROR(VLOOKUP(WEkEO[[#This Row],['#]],Table5[[current WEkEO dataset]:[Proposed new WEkEO Collection ID]],6,FALSE),"-")</f>
        <v>- / -</v>
      </c>
      <c r="G135" s="16" t="str">
        <f>IFERROR(VLOOKUP(WEkEO[[#This Row],['#]],Table5[[current WEkEO dataset]:[Proposed new WEkEO Collection ID]],8,FALSE),"-")</f>
        <v>-</v>
      </c>
      <c r="H135" s="1" t="s">
        <v>22</v>
      </c>
    </row>
    <row r="136" spans="1:8">
      <c r="A136" s="1">
        <f t="shared" si="2"/>
        <v>135</v>
      </c>
      <c r="B136" s="1" t="s">
        <v>126</v>
      </c>
      <c r="C136" s="1" t="s">
        <v>137</v>
      </c>
      <c r="D136" s="2" t="s">
        <v>112</v>
      </c>
      <c r="E136" s="8" t="s">
        <v>115</v>
      </c>
      <c r="F136" s="16" t="str">
        <f>IFERROR(VLOOKUP(WEkEO[[#This Row],['#]],Table5[[current WEkEO dataset]:[Proposed new WEkEO Collection ID]],3,FALSE),"-") &amp; " / " &amp; IFERROR(VLOOKUP(WEkEO[[#This Row],['#]],Table5[[current WEkEO dataset]:[Proposed new WEkEO Collection ID]],6,FALSE),"-")</f>
        <v>- / -</v>
      </c>
      <c r="G136" s="16" t="str">
        <f>IFERROR(VLOOKUP(WEkEO[[#This Row],['#]],Table5[[current WEkEO dataset]:[Proposed new WEkEO Collection ID]],8,FALSE),"-")</f>
        <v>-</v>
      </c>
      <c r="H136" s="1" t="s">
        <v>22</v>
      </c>
    </row>
    <row r="137" spans="1:8">
      <c r="A137" s="1">
        <f t="shared" si="2"/>
        <v>136</v>
      </c>
      <c r="B137" s="1" t="s">
        <v>126</v>
      </c>
      <c r="C137" s="1" t="s">
        <v>138</v>
      </c>
      <c r="D137" s="2" t="s">
        <v>20</v>
      </c>
      <c r="E137" s="8">
        <v>2021</v>
      </c>
      <c r="F137" s="16" t="str">
        <f>IFERROR(VLOOKUP(WEkEO[[#This Row],['#]],Table5[[current WEkEO dataset]:[Proposed new WEkEO Collection ID]],3,FALSE),"-") &amp; " / " &amp; IFERROR(VLOOKUP(WEkEO[[#This Row],['#]],Table5[[current WEkEO dataset]:[Proposed new WEkEO Collection ID]],6,FALSE),"-")</f>
        <v>- / -</v>
      </c>
      <c r="G137" s="16" t="str">
        <f>IFERROR(VLOOKUP(WEkEO[[#This Row],['#]],Table5[[current WEkEO dataset]:[Proposed new WEkEO Collection ID]],8,FALSE),"-")</f>
        <v>-</v>
      </c>
      <c r="H137" s="1" t="s">
        <v>22</v>
      </c>
    </row>
    <row r="138" spans="1:8">
      <c r="A138" s="1">
        <f t="shared" si="2"/>
        <v>137</v>
      </c>
      <c r="B138" s="1" t="s">
        <v>126</v>
      </c>
      <c r="C138" s="1" t="s">
        <v>139</v>
      </c>
      <c r="D138" s="2" t="s">
        <v>111</v>
      </c>
      <c r="E138" s="8">
        <v>2018</v>
      </c>
      <c r="F138" s="16" t="str">
        <f>IFERROR(VLOOKUP(WEkEO[[#This Row],['#]],Table5[[current WEkEO dataset]:[Proposed new WEkEO Collection ID]],3,FALSE),"-") &amp; " / " &amp; IFERROR(VLOOKUP(WEkEO[[#This Row],['#]],Table5[[current WEkEO dataset]:[Proposed new WEkEO Collection ID]],6,FALSE),"-")</f>
        <v>- / -</v>
      </c>
      <c r="G138" s="16" t="str">
        <f>IFERROR(VLOOKUP(WEkEO[[#This Row],['#]],Table5[[current WEkEO dataset]:[Proposed new WEkEO Collection ID]],8,FALSE),"-")</f>
        <v>-</v>
      </c>
      <c r="H138" s="1" t="s">
        <v>21</v>
      </c>
    </row>
    <row r="139" spans="1:8">
      <c r="A139" s="1">
        <f t="shared" si="2"/>
        <v>138</v>
      </c>
      <c r="B139" s="1" t="s">
        <v>126</v>
      </c>
      <c r="C139" s="1" t="s">
        <v>139</v>
      </c>
      <c r="D139" s="2" t="s">
        <v>111</v>
      </c>
      <c r="E139" s="8">
        <v>2021</v>
      </c>
      <c r="F139" s="16" t="str">
        <f>IFERROR(VLOOKUP(WEkEO[[#This Row],['#]],Table5[[current WEkEO dataset]:[Proposed new WEkEO Collection ID]],3,FALSE),"-") &amp; " / " &amp; IFERROR(VLOOKUP(WEkEO[[#This Row],['#]],Table5[[current WEkEO dataset]:[Proposed new WEkEO Collection ID]],6,FALSE),"-")</f>
        <v>- / -</v>
      </c>
      <c r="G139" s="16" t="str">
        <f>IFERROR(VLOOKUP(WEkEO[[#This Row],['#]],Table5[[current WEkEO dataset]:[Proposed new WEkEO Collection ID]],8,FALSE),"-")</f>
        <v>-</v>
      </c>
      <c r="H139" s="1" t="s">
        <v>22</v>
      </c>
    </row>
    <row r="140" spans="1:8">
      <c r="A140" s="1">
        <f t="shared" si="2"/>
        <v>139</v>
      </c>
      <c r="B140" s="1" t="s">
        <v>126</v>
      </c>
      <c r="C140" s="1" t="s">
        <v>140</v>
      </c>
      <c r="D140" s="2" t="s">
        <v>111</v>
      </c>
      <c r="E140" s="8" t="s">
        <v>115</v>
      </c>
      <c r="F140" s="16" t="str">
        <f>IFERROR(VLOOKUP(WEkEO[[#This Row],['#]],Table5[[current WEkEO dataset]:[Proposed new WEkEO Collection ID]],3,FALSE),"-") &amp; " / " &amp; IFERROR(VLOOKUP(WEkEO[[#This Row],['#]],Table5[[current WEkEO dataset]:[Proposed new WEkEO Collection ID]],6,FALSE),"-")</f>
        <v>- / -</v>
      </c>
      <c r="G140" s="16" t="str">
        <f>IFERROR(VLOOKUP(WEkEO[[#This Row],['#]],Table5[[current WEkEO dataset]:[Proposed new WEkEO Collection ID]],8,FALSE),"-")</f>
        <v>-</v>
      </c>
      <c r="H140" s="1" t="s">
        <v>22</v>
      </c>
    </row>
    <row r="141" spans="1:8">
      <c r="A141" s="1">
        <f t="shared" si="2"/>
        <v>140</v>
      </c>
      <c r="B141" s="1" t="s">
        <v>126</v>
      </c>
      <c r="C141" s="1" t="s">
        <v>141</v>
      </c>
      <c r="D141" s="2" t="s">
        <v>111</v>
      </c>
      <c r="E141" s="8" t="s">
        <v>115</v>
      </c>
      <c r="F141" s="16" t="str">
        <f>IFERROR(VLOOKUP(WEkEO[[#This Row],['#]],Table5[[current WEkEO dataset]:[Proposed new WEkEO Collection ID]],3,FALSE),"-") &amp; " / " &amp; IFERROR(VLOOKUP(WEkEO[[#This Row],['#]],Table5[[current WEkEO dataset]:[Proposed new WEkEO Collection ID]],6,FALSE),"-")</f>
        <v>- / -</v>
      </c>
      <c r="G141" s="16" t="str">
        <f>IFERROR(VLOOKUP(WEkEO[[#This Row],['#]],Table5[[current WEkEO dataset]:[Proposed new WEkEO Collection ID]],8,FALSE),"-")</f>
        <v>-</v>
      </c>
      <c r="H141" s="1" t="s">
        <v>22</v>
      </c>
    </row>
    <row r="142" spans="1:8">
      <c r="A142" s="1">
        <f t="shared" si="2"/>
        <v>141</v>
      </c>
      <c r="B142" s="1" t="s">
        <v>126</v>
      </c>
      <c r="C142" s="1" t="s">
        <v>142</v>
      </c>
      <c r="D142" s="2" t="s">
        <v>111</v>
      </c>
      <c r="E142" s="8" t="s">
        <v>115</v>
      </c>
      <c r="F142" s="16" t="str">
        <f>IFERROR(VLOOKUP(WEkEO[[#This Row],['#]],Table5[[current WEkEO dataset]:[Proposed new WEkEO Collection ID]],3,FALSE),"-") &amp; " / " &amp; IFERROR(VLOOKUP(WEkEO[[#This Row],['#]],Table5[[current WEkEO dataset]:[Proposed new WEkEO Collection ID]],6,FALSE),"-")</f>
        <v>- / -</v>
      </c>
      <c r="G142" s="16" t="str">
        <f>IFERROR(VLOOKUP(WEkEO[[#This Row],['#]],Table5[[current WEkEO dataset]:[Proposed new WEkEO Collection ID]],8,FALSE),"-")</f>
        <v>-</v>
      </c>
      <c r="H142" s="1" t="s">
        <v>22</v>
      </c>
    </row>
    <row r="143" spans="1:8">
      <c r="A143" s="1">
        <f t="shared" si="2"/>
        <v>142</v>
      </c>
      <c r="B143" s="1" t="s">
        <v>126</v>
      </c>
      <c r="C143" s="1" t="s">
        <v>143</v>
      </c>
      <c r="D143" s="2" t="s">
        <v>111</v>
      </c>
      <c r="E143" s="8" t="s">
        <v>115</v>
      </c>
      <c r="F143" s="16" t="str">
        <f>IFERROR(VLOOKUP(WEkEO[[#This Row],['#]],Table5[[current WEkEO dataset]:[Proposed new WEkEO Collection ID]],3,FALSE),"-") &amp; " / " &amp; IFERROR(VLOOKUP(WEkEO[[#This Row],['#]],Table5[[current WEkEO dataset]:[Proposed new WEkEO Collection ID]],6,FALSE),"-")</f>
        <v>- / -</v>
      </c>
      <c r="G143" s="16" t="str">
        <f>IFERROR(VLOOKUP(WEkEO[[#This Row],['#]],Table5[[current WEkEO dataset]:[Proposed new WEkEO Collection ID]],8,FALSE),"-")</f>
        <v>-</v>
      </c>
      <c r="H143" s="1" t="s">
        <v>22</v>
      </c>
    </row>
    <row r="144" spans="1:8">
      <c r="A144" s="1">
        <f t="shared" si="2"/>
        <v>143</v>
      </c>
      <c r="B144" s="1" t="s">
        <v>144</v>
      </c>
      <c r="C144" s="1" t="s">
        <v>145</v>
      </c>
      <c r="D144" s="2" t="s">
        <v>146</v>
      </c>
      <c r="E144" s="8">
        <v>2015</v>
      </c>
      <c r="F144" s="16" t="str">
        <f>IFERROR(VLOOKUP(WEkEO[[#This Row],['#]],Table5[[current WEkEO dataset]:[Proposed new WEkEO Collection ID]],3,FALSE),"-") &amp; " / " &amp; IFERROR(VLOOKUP(WEkEO[[#This Row],['#]],Table5[[current WEkEO dataset]:[Proposed new WEkEO Collection ID]],6,FALSE),"-")</f>
        <v>- / -</v>
      </c>
      <c r="G144" s="16" t="str">
        <f>IFERROR(VLOOKUP(WEkEO[[#This Row],['#]],Table5[[current WEkEO dataset]:[Proposed new WEkEO Collection ID]],8,FALSE),"-")</f>
        <v>-</v>
      </c>
      <c r="H144" s="1" t="s">
        <v>21</v>
      </c>
    </row>
    <row r="145" spans="1:8">
      <c r="A145" s="1">
        <f t="shared" si="2"/>
        <v>144</v>
      </c>
      <c r="B145" s="1" t="s">
        <v>144</v>
      </c>
      <c r="C145" s="1" t="s">
        <v>145</v>
      </c>
      <c r="D145" s="2" t="s">
        <v>146</v>
      </c>
      <c r="E145" s="8">
        <v>2018</v>
      </c>
      <c r="F145" s="16" t="str">
        <f>IFERROR(VLOOKUP(WEkEO[[#This Row],['#]],Table5[[current WEkEO dataset]:[Proposed new WEkEO Collection ID]],3,FALSE),"-") &amp; " / " &amp; IFERROR(VLOOKUP(WEkEO[[#This Row],['#]],Table5[[current WEkEO dataset]:[Proposed new WEkEO Collection ID]],6,FALSE),"-")</f>
        <v>- / -</v>
      </c>
      <c r="G145" s="16" t="str">
        <f>IFERROR(VLOOKUP(WEkEO[[#This Row],['#]],Table5[[current WEkEO dataset]:[Proposed new WEkEO Collection ID]],8,FALSE),"-")</f>
        <v>-</v>
      </c>
      <c r="H145" s="1" t="s">
        <v>21</v>
      </c>
    </row>
    <row r="146" spans="1:8">
      <c r="A146" s="1">
        <f t="shared" si="2"/>
        <v>145</v>
      </c>
      <c r="B146" s="1" t="s">
        <v>144</v>
      </c>
      <c r="C146" s="1" t="s">
        <v>145</v>
      </c>
      <c r="D146" s="2" t="s">
        <v>146</v>
      </c>
      <c r="E146" s="8">
        <v>2021</v>
      </c>
      <c r="F146" s="16" t="str">
        <f>IFERROR(VLOOKUP(WEkEO[[#This Row],['#]],Table5[[current WEkEO dataset]:[Proposed new WEkEO Collection ID]],3,FALSE),"-") &amp; " / " &amp; IFERROR(VLOOKUP(WEkEO[[#This Row],['#]],Table5[[current WEkEO dataset]:[Proposed new WEkEO Collection ID]],6,FALSE),"-")</f>
        <v>- / -</v>
      </c>
      <c r="G146" s="16" t="str">
        <f>IFERROR(VLOOKUP(WEkEO[[#This Row],['#]],Table5[[current WEkEO dataset]:[Proposed new WEkEO Collection ID]],8,FALSE),"-")</f>
        <v>-</v>
      </c>
      <c r="H146" s="1" t="s">
        <v>21</v>
      </c>
    </row>
    <row r="147" spans="1:8">
      <c r="A147" s="1">
        <f t="shared" si="2"/>
        <v>146</v>
      </c>
      <c r="B147" s="1" t="s">
        <v>144</v>
      </c>
      <c r="C147" s="1" t="s">
        <v>145</v>
      </c>
      <c r="D147" s="2" t="s">
        <v>111</v>
      </c>
      <c r="E147" s="8">
        <v>2015</v>
      </c>
      <c r="F147" s="16" t="str">
        <f>IFERROR(VLOOKUP(WEkEO[[#This Row],['#]],Table5[[current WEkEO dataset]:[Proposed new WEkEO Collection ID]],3,FALSE),"-") &amp; " / " &amp; IFERROR(VLOOKUP(WEkEO[[#This Row],['#]],Table5[[current WEkEO dataset]:[Proposed new WEkEO Collection ID]],6,FALSE),"-")</f>
        <v>- / -</v>
      </c>
      <c r="G147" s="16" t="str">
        <f>IFERROR(VLOOKUP(WEkEO[[#This Row],['#]],Table5[[current WEkEO dataset]:[Proposed new WEkEO Collection ID]],8,FALSE),"-")</f>
        <v>-</v>
      </c>
      <c r="H147" s="1" t="s">
        <v>21</v>
      </c>
    </row>
    <row r="148" spans="1:8">
      <c r="A148" s="1">
        <f t="shared" si="2"/>
        <v>147</v>
      </c>
      <c r="B148" s="1" t="s">
        <v>144</v>
      </c>
      <c r="C148" s="1" t="s">
        <v>145</v>
      </c>
      <c r="D148" s="2" t="s">
        <v>111</v>
      </c>
      <c r="E148" s="8">
        <v>2018</v>
      </c>
      <c r="F148" s="16" t="str">
        <f>IFERROR(VLOOKUP(WEkEO[[#This Row],['#]],Table5[[current WEkEO dataset]:[Proposed new WEkEO Collection ID]],3,FALSE),"-") &amp; " / " &amp; IFERROR(VLOOKUP(WEkEO[[#This Row],['#]],Table5[[current WEkEO dataset]:[Proposed new WEkEO Collection ID]],6,FALSE),"-")</f>
        <v>- / -</v>
      </c>
      <c r="G148" s="16" t="str">
        <f>IFERROR(VLOOKUP(WEkEO[[#This Row],['#]],Table5[[current WEkEO dataset]:[Proposed new WEkEO Collection ID]],8,FALSE),"-")</f>
        <v>-</v>
      </c>
      <c r="H148" s="1" t="s">
        <v>21</v>
      </c>
    </row>
    <row r="149" spans="1:8">
      <c r="A149" s="1">
        <f t="shared" si="2"/>
        <v>148</v>
      </c>
      <c r="B149" s="1" t="s">
        <v>144</v>
      </c>
      <c r="C149" s="1" t="s">
        <v>145</v>
      </c>
      <c r="D149" s="2" t="s">
        <v>111</v>
      </c>
      <c r="E149" s="8">
        <v>2021</v>
      </c>
      <c r="F149" s="16" t="str">
        <f>IFERROR(VLOOKUP(WEkEO[[#This Row],['#]],Table5[[current WEkEO dataset]:[Proposed new WEkEO Collection ID]],3,FALSE),"-") &amp; " / " &amp; IFERROR(VLOOKUP(WEkEO[[#This Row],['#]],Table5[[current WEkEO dataset]:[Proposed new WEkEO Collection ID]],6,FALSE),"-")</f>
        <v>- / -</v>
      </c>
      <c r="G149" s="16" t="str">
        <f>IFERROR(VLOOKUP(WEkEO[[#This Row],['#]],Table5[[current WEkEO dataset]:[Proposed new WEkEO Collection ID]],8,FALSE),"-")</f>
        <v>-</v>
      </c>
      <c r="H149" s="1" t="s">
        <v>21</v>
      </c>
    </row>
    <row r="150" spans="1:8">
      <c r="A150" s="1">
        <f t="shared" si="2"/>
        <v>149</v>
      </c>
      <c r="B150" s="1" t="s">
        <v>144</v>
      </c>
      <c r="C150" s="1" t="s">
        <v>145</v>
      </c>
      <c r="D150" s="2" t="s">
        <v>147</v>
      </c>
      <c r="E150" s="8">
        <v>2015</v>
      </c>
      <c r="F150" s="16" t="str">
        <f>IFERROR(VLOOKUP(WEkEO[[#This Row],['#]],Table5[[current WEkEO dataset]:[Proposed new WEkEO Collection ID]],3,FALSE),"-") &amp; " / " &amp; IFERROR(VLOOKUP(WEkEO[[#This Row],['#]],Table5[[current WEkEO dataset]:[Proposed new WEkEO Collection ID]],6,FALSE),"-")</f>
        <v>- / -</v>
      </c>
      <c r="G150" s="16" t="str">
        <f>IFERROR(VLOOKUP(WEkEO[[#This Row],['#]],Table5[[current WEkEO dataset]:[Proposed new WEkEO Collection ID]],8,FALSE),"-")</f>
        <v>-</v>
      </c>
      <c r="H150" s="1" t="s">
        <v>21</v>
      </c>
    </row>
    <row r="151" spans="1:8">
      <c r="A151" s="1">
        <f t="shared" si="2"/>
        <v>150</v>
      </c>
      <c r="B151" s="1" t="s">
        <v>144</v>
      </c>
      <c r="C151" s="1" t="s">
        <v>145</v>
      </c>
      <c r="D151" s="2" t="s">
        <v>147</v>
      </c>
      <c r="E151" s="8">
        <v>2018</v>
      </c>
      <c r="F151" s="16" t="str">
        <f>IFERROR(VLOOKUP(WEkEO[[#This Row],['#]],Table5[[current WEkEO dataset]:[Proposed new WEkEO Collection ID]],3,FALSE),"-") &amp; " / " &amp; IFERROR(VLOOKUP(WEkEO[[#This Row],['#]],Table5[[current WEkEO dataset]:[Proposed new WEkEO Collection ID]],6,FALSE),"-")</f>
        <v>- / -</v>
      </c>
      <c r="G151" s="16" t="str">
        <f>IFERROR(VLOOKUP(WEkEO[[#This Row],['#]],Table5[[current WEkEO dataset]:[Proposed new WEkEO Collection ID]],8,FALSE),"-")</f>
        <v>-</v>
      </c>
      <c r="H151" s="1" t="s">
        <v>21</v>
      </c>
    </row>
    <row r="152" spans="1:8">
      <c r="A152" s="1">
        <f t="shared" si="2"/>
        <v>151</v>
      </c>
      <c r="B152" s="1" t="s">
        <v>144</v>
      </c>
      <c r="C152" s="1" t="s">
        <v>145</v>
      </c>
      <c r="D152" s="2" t="s">
        <v>147</v>
      </c>
      <c r="E152" s="8">
        <v>2021</v>
      </c>
      <c r="F152" s="16" t="str">
        <f>IFERROR(VLOOKUP(WEkEO[[#This Row],['#]],Table5[[current WEkEO dataset]:[Proposed new WEkEO Collection ID]],3,FALSE),"-") &amp; " / " &amp; IFERROR(VLOOKUP(WEkEO[[#This Row],['#]],Table5[[current WEkEO dataset]:[Proposed new WEkEO Collection ID]],6,FALSE),"-")</f>
        <v>- / -</v>
      </c>
      <c r="G152" s="16" t="str">
        <f>IFERROR(VLOOKUP(WEkEO[[#This Row],['#]],Table5[[current WEkEO dataset]:[Proposed new WEkEO Collection ID]],8,FALSE),"-")</f>
        <v>-</v>
      </c>
      <c r="H152" s="1" t="s">
        <v>21</v>
      </c>
    </row>
    <row r="153" spans="1:8">
      <c r="A153" s="1">
        <f t="shared" si="2"/>
        <v>152</v>
      </c>
      <c r="B153" s="1" t="s">
        <v>144</v>
      </c>
      <c r="C153" s="1" t="s">
        <v>148</v>
      </c>
      <c r="D153" s="2" t="s">
        <v>147</v>
      </c>
      <c r="E153" s="8">
        <v>2021</v>
      </c>
      <c r="F153" s="16" t="str">
        <f>IFERROR(VLOOKUP(WEkEO[[#This Row],['#]],Table5[[current WEkEO dataset]:[Proposed new WEkEO Collection ID]],3,FALSE),"-") &amp; " / " &amp; IFERROR(VLOOKUP(WEkEO[[#This Row],['#]],Table5[[current WEkEO dataset]:[Proposed new WEkEO Collection ID]],6,FALSE),"-")</f>
        <v>- / -</v>
      </c>
      <c r="G153" s="16" t="str">
        <f>IFERROR(VLOOKUP(WEkEO[[#This Row],['#]],Table5[[current WEkEO dataset]:[Proposed new WEkEO Collection ID]],8,FALSE),"-")</f>
        <v>-</v>
      </c>
      <c r="H153" s="1" t="s">
        <v>21</v>
      </c>
    </row>
    <row r="154" spans="1:8">
      <c r="A154" s="1">
        <f t="shared" si="2"/>
        <v>153</v>
      </c>
      <c r="B154" s="1" t="s">
        <v>144</v>
      </c>
      <c r="C154" s="1" t="s">
        <v>149</v>
      </c>
      <c r="D154" s="2" t="s">
        <v>147</v>
      </c>
      <c r="E154" s="8">
        <v>2021</v>
      </c>
      <c r="F154" s="16" t="str">
        <f>IFERROR(VLOOKUP(WEkEO[[#This Row],['#]],Table5[[current WEkEO dataset]:[Proposed new WEkEO Collection ID]],3,FALSE),"-") &amp; " / " &amp; IFERROR(VLOOKUP(WEkEO[[#This Row],['#]],Table5[[current WEkEO dataset]:[Proposed new WEkEO Collection ID]],6,FALSE),"-")</f>
        <v>- / -</v>
      </c>
      <c r="G154" s="16" t="str">
        <f>IFERROR(VLOOKUP(WEkEO[[#This Row],['#]],Table5[[current WEkEO dataset]:[Proposed new WEkEO Collection ID]],8,FALSE),"-")</f>
        <v>-</v>
      </c>
      <c r="H154" s="1" t="s">
        <v>21</v>
      </c>
    </row>
    <row r="155" spans="1:8">
      <c r="A155" s="1">
        <f t="shared" si="2"/>
        <v>154</v>
      </c>
      <c r="B155" s="1" t="s">
        <v>144</v>
      </c>
      <c r="C155" s="1" t="s">
        <v>150</v>
      </c>
      <c r="D155" s="2" t="s">
        <v>147</v>
      </c>
      <c r="E155" s="8">
        <v>2021</v>
      </c>
      <c r="F155" s="16" t="str">
        <f>IFERROR(VLOOKUP(WEkEO[[#This Row],['#]],Table5[[current WEkEO dataset]:[Proposed new WEkEO Collection ID]],3,FALSE),"-") &amp; " / " &amp; IFERROR(VLOOKUP(WEkEO[[#This Row],['#]],Table5[[current WEkEO dataset]:[Proposed new WEkEO Collection ID]],6,FALSE),"-")</f>
        <v>- / -</v>
      </c>
      <c r="G155" s="16" t="str">
        <f>IFERROR(VLOOKUP(WEkEO[[#This Row],['#]],Table5[[current WEkEO dataset]:[Proposed new WEkEO Collection ID]],8,FALSE),"-")</f>
        <v>-</v>
      </c>
      <c r="H155" s="1" t="s">
        <v>21</v>
      </c>
    </row>
    <row r="156" spans="1:8">
      <c r="A156" s="1">
        <f t="shared" si="2"/>
        <v>155</v>
      </c>
      <c r="B156" s="1" t="s">
        <v>151</v>
      </c>
      <c r="C156" s="1" t="s">
        <v>152</v>
      </c>
      <c r="D156" s="2" t="s">
        <v>111</v>
      </c>
      <c r="E156" s="8" t="s">
        <v>153</v>
      </c>
      <c r="F156" s="16" t="str">
        <f>IFERROR(VLOOKUP(WEkEO[[#This Row],['#]],Table5[[current WEkEO dataset]:[Proposed new WEkEO Collection ID]],3,FALSE),"-") &amp; " / " &amp; IFERROR(VLOOKUP(WEkEO[[#This Row],['#]],Table5[[current WEkEO dataset]:[Proposed new WEkEO Collection ID]],6,FALSE),"-")</f>
        <v>CLMS / clms_vlcc_broadleaved-cover-density_europe_100m_yearly_v1</v>
      </c>
      <c r="G156" s="16" t="str">
        <f>IFERROR(VLOOKUP(WEkEO[[#This Row],['#]],Table5[[current WEkEO dataset]:[Proposed new WEkEO Collection ID]],8,FALSE),"-")</f>
        <v>EO:CLMS:CDSE:DLF</v>
      </c>
      <c r="H156" s="1" t="s">
        <v>22</v>
      </c>
    </row>
    <row r="157" spans="1:8">
      <c r="A157" s="1">
        <f t="shared" si="2"/>
        <v>156</v>
      </c>
      <c r="B157" s="1" t="s">
        <v>151</v>
      </c>
      <c r="C157" s="1" t="s">
        <v>154</v>
      </c>
      <c r="D157" s="2" t="s">
        <v>111</v>
      </c>
      <c r="E157" s="8" t="s">
        <v>153</v>
      </c>
      <c r="F157" s="16" t="str">
        <f>IFERROR(VLOOKUP(WEkEO[[#This Row],['#]],Table5[[current WEkEO dataset]:[Proposed new WEkEO Collection ID]],3,FALSE),"-") &amp; " / " &amp; IFERROR(VLOOKUP(WEkEO[[#This Row],['#]],Table5[[current WEkEO dataset]:[Proposed new WEkEO Collection ID]],6,FALSE),"-")</f>
        <v>CLMS / clms_vlcc_coniferous-cover-density_europe_100m_yearly_v1</v>
      </c>
      <c r="G157" s="16" t="str">
        <f>IFERROR(VLOOKUP(WEkEO[[#This Row],['#]],Table5[[current WEkEO dataset]:[Proposed new WEkEO Collection ID]],8,FALSE),"-")</f>
        <v>EO:CLMS:CDSE:DLF</v>
      </c>
      <c r="H157" s="1" t="s">
        <v>22</v>
      </c>
    </row>
    <row r="158" spans="1:8">
      <c r="A158" s="1">
        <f t="shared" si="2"/>
        <v>157</v>
      </c>
      <c r="B158" s="1" t="s">
        <v>151</v>
      </c>
      <c r="C158" s="1" t="s">
        <v>155</v>
      </c>
      <c r="D158" s="2" t="s">
        <v>112</v>
      </c>
      <c r="E158" s="8" t="s">
        <v>156</v>
      </c>
      <c r="F158" s="16" t="str">
        <f>IFERROR(VLOOKUP(WEkEO[[#This Row],['#]],Table5[[current WEkEO dataset]:[Proposed new WEkEO Collection ID]],3,FALSE),"-") &amp; " / " &amp; IFERROR(VLOOKUP(WEkEO[[#This Row],['#]],Table5[[current WEkEO dataset]:[Proposed new WEkEO Collection ID]],6,FALSE),"-")</f>
        <v>- / -</v>
      </c>
      <c r="G158" s="16" t="str">
        <f>IFERROR(VLOOKUP(WEkEO[[#This Row],['#]],Table5[[current WEkEO dataset]:[Proposed new WEkEO Collection ID]],8,FALSE),"-")</f>
        <v>-</v>
      </c>
      <c r="H158" s="1" t="s">
        <v>21</v>
      </c>
    </row>
    <row r="159" spans="1:8">
      <c r="A159" s="1">
        <f t="shared" si="2"/>
        <v>158</v>
      </c>
      <c r="B159" s="1" t="s">
        <v>151</v>
      </c>
      <c r="C159" s="1" t="s">
        <v>155</v>
      </c>
      <c r="D159" s="2" t="s">
        <v>20</v>
      </c>
      <c r="E159" s="8" t="s">
        <v>153</v>
      </c>
      <c r="F159" s="16" t="str">
        <f>IFERROR(VLOOKUP(WEkEO[[#This Row],['#]],Table5[[current WEkEO dataset]:[Proposed new WEkEO Collection ID]],3,FALSE),"-") &amp; " / " &amp; IFERROR(VLOOKUP(WEkEO[[#This Row],['#]],Table5[[current WEkEO dataset]:[Proposed new WEkEO Collection ID]],6,FALSE),"-")</f>
        <v>CLMS / clms_vlcc_dominant-leaf-type_europe_10m_yearly_v1</v>
      </c>
      <c r="G159" s="16" t="str">
        <f>IFERROR(VLOOKUP(WEkEO[[#This Row],['#]],Table5[[current WEkEO dataset]:[Proposed new WEkEO Collection ID]],8,FALSE),"-")</f>
        <v>EO:CLMS:CDSE:DLF</v>
      </c>
      <c r="H159" s="1" t="s">
        <v>22</v>
      </c>
    </row>
    <row r="160" spans="1:8">
      <c r="A160" s="1">
        <f t="shared" si="2"/>
        <v>159</v>
      </c>
      <c r="B160" s="1" t="s">
        <v>151</v>
      </c>
      <c r="C160" s="1" t="s">
        <v>157</v>
      </c>
      <c r="D160" s="2" t="s">
        <v>20</v>
      </c>
      <c r="E160" s="8" t="s">
        <v>153</v>
      </c>
      <c r="F160" s="16" t="str">
        <f>IFERROR(VLOOKUP(WEkEO[[#This Row],['#]],Table5[[current WEkEO dataset]:[Proposed new WEkEO Collection ID]],3,FALSE),"-") &amp; " / " &amp; IFERROR(VLOOKUP(WEkEO[[#This Row],['#]],Table5[[current WEkEO dataset]:[Proposed new WEkEO Collection ID]],6,FALSE),"-")</f>
        <v>CLMS / clms_vlcc_dominant-leaf-type-confidence-layer_europe_10m_yearly_v1</v>
      </c>
      <c r="G160" s="16" t="str">
        <f>IFERROR(VLOOKUP(WEkEO[[#This Row],['#]],Table5[[current WEkEO dataset]:[Proposed new WEkEO Collection ID]],8,FALSE),"-")</f>
        <v>EO:CLMS:CDSE:DLF</v>
      </c>
      <c r="H160" s="1" t="s">
        <v>22</v>
      </c>
    </row>
    <row r="161" spans="1:8">
      <c r="A161" s="1">
        <f t="shared" si="2"/>
        <v>160</v>
      </c>
      <c r="B161" s="1" t="s">
        <v>151</v>
      </c>
      <c r="C161" s="1" t="s">
        <v>158</v>
      </c>
      <c r="D161" s="2" t="s">
        <v>112</v>
      </c>
      <c r="E161" s="8" t="s">
        <v>114</v>
      </c>
      <c r="F161" s="16" t="str">
        <f>IFERROR(VLOOKUP(WEkEO[[#This Row],['#]],Table5[[current WEkEO dataset]:[Proposed new WEkEO Collection ID]],3,FALSE),"-") &amp; " / " &amp; IFERROR(VLOOKUP(WEkEO[[#This Row],['#]],Table5[[current WEkEO dataset]:[Proposed new WEkEO Collection ID]],6,FALSE),"-")</f>
        <v>- / -</v>
      </c>
      <c r="G161" s="16" t="str">
        <f>IFERROR(VLOOKUP(WEkEO[[#This Row],['#]],Table5[[current WEkEO dataset]:[Proposed new WEkEO Collection ID]],8,FALSE),"-")</f>
        <v>-</v>
      </c>
      <c r="H161" s="1" t="s">
        <v>21</v>
      </c>
    </row>
    <row r="162" spans="1:8">
      <c r="A162" s="1">
        <f t="shared" si="2"/>
        <v>161</v>
      </c>
      <c r="B162" s="1" t="s">
        <v>151</v>
      </c>
      <c r="C162" s="1" t="s">
        <v>158</v>
      </c>
      <c r="D162" s="2" t="s">
        <v>112</v>
      </c>
      <c r="E162" s="8" t="s">
        <v>115</v>
      </c>
      <c r="F162" s="16" t="str">
        <f>IFERROR(VLOOKUP(WEkEO[[#This Row],['#]],Table5[[current WEkEO dataset]:[Proposed new WEkEO Collection ID]],3,FALSE),"-") &amp; " / " &amp; IFERROR(VLOOKUP(WEkEO[[#This Row],['#]],Table5[[current WEkEO dataset]:[Proposed new WEkEO Collection ID]],6,FALSE),"-")</f>
        <v>CLMS / clms_vlcc_dominant-leaf-type-change_europe_20m_3yearly_v1</v>
      </c>
      <c r="G162" s="16" t="str">
        <f>IFERROR(VLOOKUP(WEkEO[[#This Row],['#]],Table5[[current WEkEO dataset]:[Proposed new WEkEO Collection ID]],8,FALSE),"-")</f>
        <v>EO:CLMS:CDSE:DLF</v>
      </c>
      <c r="H162" s="1" t="s">
        <v>22</v>
      </c>
    </row>
    <row r="163" spans="1:8">
      <c r="A163" s="1">
        <f t="shared" si="2"/>
        <v>162</v>
      </c>
      <c r="B163" s="1" t="s">
        <v>151</v>
      </c>
      <c r="C163" s="1" t="s">
        <v>159</v>
      </c>
      <c r="D163" s="2" t="s">
        <v>20</v>
      </c>
      <c r="E163" s="8" t="s">
        <v>160</v>
      </c>
      <c r="F163" s="16" t="str">
        <f>IFERROR(VLOOKUP(WEkEO[[#This Row],['#]],Table5[[current WEkEO dataset]:[Proposed new WEkEO Collection ID]],3,FALSE),"-") &amp; " / " &amp; IFERROR(VLOOKUP(WEkEO[[#This Row],['#]],Table5[[current WEkEO dataset]:[Proposed new WEkEO Collection ID]],6,FALSE),"-")</f>
        <v>CLMS / clms_vlcc_forest-additional-support-layer_europe_10m_3yearly_v1</v>
      </c>
      <c r="G163" s="16" t="str">
        <f>IFERROR(VLOOKUP(WEkEO[[#This Row],['#]],Table5[[current WEkEO dataset]:[Proposed new WEkEO Collection ID]],8,FALSE),"-")</f>
        <v>EO:CLMS:CDSE:FTY</v>
      </c>
      <c r="H163" s="1" t="s">
        <v>22</v>
      </c>
    </row>
    <row r="164" spans="1:8">
      <c r="A164" s="1">
        <f t="shared" si="2"/>
        <v>163</v>
      </c>
      <c r="B164" s="1" t="s">
        <v>151</v>
      </c>
      <c r="C164" s="1" t="s">
        <v>161</v>
      </c>
      <c r="D164" s="2" t="s">
        <v>111</v>
      </c>
      <c r="E164" s="8" t="s">
        <v>156</v>
      </c>
      <c r="F164" s="16" t="str">
        <f>IFERROR(VLOOKUP(WEkEO[[#This Row],['#]],Table5[[current WEkEO dataset]:[Proposed new WEkEO Collection ID]],3,FALSE),"-") &amp; " / " &amp; IFERROR(VLOOKUP(WEkEO[[#This Row],['#]],Table5[[current WEkEO dataset]:[Proposed new WEkEO Collection ID]],6,FALSE),"-")</f>
        <v>- / -</v>
      </c>
      <c r="G164" s="16" t="str">
        <f>IFERROR(VLOOKUP(WEkEO[[#This Row],['#]],Table5[[current WEkEO dataset]:[Proposed new WEkEO Collection ID]],8,FALSE),"-")</f>
        <v>-</v>
      </c>
      <c r="H164" s="1" t="s">
        <v>21</v>
      </c>
    </row>
    <row r="165" spans="1:8">
      <c r="A165" s="1">
        <f t="shared" si="2"/>
        <v>164</v>
      </c>
      <c r="B165" s="1" t="s">
        <v>151</v>
      </c>
      <c r="C165" s="1" t="s">
        <v>161</v>
      </c>
      <c r="D165" s="2" t="s">
        <v>111</v>
      </c>
      <c r="E165" s="8" t="s">
        <v>160</v>
      </c>
      <c r="F165" s="16" t="str">
        <f>IFERROR(VLOOKUP(WEkEO[[#This Row],['#]],Table5[[current WEkEO dataset]:[Proposed new WEkEO Collection ID]],3,FALSE),"-") &amp; " / " &amp; IFERROR(VLOOKUP(WEkEO[[#This Row],['#]],Table5[[current WEkEO dataset]:[Proposed new WEkEO Collection ID]],6,FALSE),"-")</f>
        <v>CLMS / clms_vlcc_forest-type_europe_100m_3yearly_v1</v>
      </c>
      <c r="G165" s="16" t="str">
        <f>IFERROR(VLOOKUP(WEkEO[[#This Row],['#]],Table5[[current WEkEO dataset]:[Proposed new WEkEO Collection ID]],8,FALSE),"-")</f>
        <v>EO:CLMS:CDSE:FTY</v>
      </c>
      <c r="H165" s="1" t="s">
        <v>22</v>
      </c>
    </row>
    <row r="166" spans="1:8">
      <c r="A166" s="1">
        <f t="shared" si="2"/>
        <v>165</v>
      </c>
      <c r="B166" s="1" t="s">
        <v>151</v>
      </c>
      <c r="C166" s="1" t="s">
        <v>161</v>
      </c>
      <c r="D166" s="2" t="s">
        <v>112</v>
      </c>
      <c r="E166" s="8" t="s">
        <v>156</v>
      </c>
      <c r="F166" s="16" t="str">
        <f>IFERROR(VLOOKUP(WEkEO[[#This Row],['#]],Table5[[current WEkEO dataset]:[Proposed new WEkEO Collection ID]],3,FALSE),"-") &amp; " / " &amp; IFERROR(VLOOKUP(WEkEO[[#This Row],['#]],Table5[[current WEkEO dataset]:[Proposed new WEkEO Collection ID]],6,FALSE),"-")</f>
        <v>- / -</v>
      </c>
      <c r="G166" s="16" t="str">
        <f>IFERROR(VLOOKUP(WEkEO[[#This Row],['#]],Table5[[current WEkEO dataset]:[Proposed new WEkEO Collection ID]],8,FALSE),"-")</f>
        <v>-</v>
      </c>
      <c r="H166" s="1" t="s">
        <v>21</v>
      </c>
    </row>
    <row r="167" spans="1:8">
      <c r="A167" s="1">
        <f t="shared" si="2"/>
        <v>166</v>
      </c>
      <c r="B167" s="1" t="s">
        <v>151</v>
      </c>
      <c r="C167" s="1" t="s">
        <v>161</v>
      </c>
      <c r="D167" s="2" t="s">
        <v>20</v>
      </c>
      <c r="E167" s="8" t="s">
        <v>160</v>
      </c>
      <c r="F167" s="16" t="str">
        <f>IFERROR(VLOOKUP(WEkEO[[#This Row],['#]],Table5[[current WEkEO dataset]:[Proposed new WEkEO Collection ID]],3,FALSE),"-") &amp; " / " &amp; IFERROR(VLOOKUP(WEkEO[[#This Row],['#]],Table5[[current WEkEO dataset]:[Proposed new WEkEO Collection ID]],6,FALSE),"-")</f>
        <v>CLMS / clms_vlcc_forest-type_europe_10m_3yearly_v1</v>
      </c>
      <c r="G167" s="16" t="str">
        <f>IFERROR(VLOOKUP(WEkEO[[#This Row],['#]],Table5[[current WEkEO dataset]:[Proposed new WEkEO Collection ID]],8,FALSE),"-")</f>
        <v>EO:CLMS:CDSE:FTY</v>
      </c>
      <c r="H167" s="1" t="s">
        <v>22</v>
      </c>
    </row>
    <row r="168" spans="1:8">
      <c r="A168" s="1">
        <f t="shared" si="2"/>
        <v>167</v>
      </c>
      <c r="B168" s="1" t="s">
        <v>151</v>
      </c>
      <c r="C168" s="1" t="s">
        <v>162</v>
      </c>
      <c r="D168" s="2" t="s">
        <v>112</v>
      </c>
      <c r="E168" s="8" t="s">
        <v>163</v>
      </c>
      <c r="F168" s="16" t="str">
        <f>IFERROR(VLOOKUP(WEkEO[[#This Row],['#]],Table5[[current WEkEO dataset]:[Proposed new WEkEO Collection ID]],3,FALSE),"-") &amp; " / " &amp; IFERROR(VLOOKUP(WEkEO[[#This Row],['#]],Table5[[current WEkEO dataset]:[Proposed new WEkEO Collection ID]],6,FALSE),"-")</f>
        <v>- / -</v>
      </c>
      <c r="G168" s="16" t="str">
        <f>IFERROR(VLOOKUP(WEkEO[[#This Row],['#]],Table5[[current WEkEO dataset]:[Proposed new WEkEO Collection ID]],8,FALSE),"-")</f>
        <v>-</v>
      </c>
      <c r="H168" s="1" t="s">
        <v>21</v>
      </c>
    </row>
    <row r="169" spans="1:8">
      <c r="A169" s="1">
        <f t="shared" si="2"/>
        <v>168</v>
      </c>
      <c r="B169" s="1" t="s">
        <v>151</v>
      </c>
      <c r="C169" s="1" t="s">
        <v>164</v>
      </c>
      <c r="D169" s="2" t="s">
        <v>111</v>
      </c>
      <c r="E169" s="8" t="s">
        <v>156</v>
      </c>
      <c r="F169" s="16" t="str">
        <f>IFERROR(VLOOKUP(WEkEO[[#This Row],['#]],Table5[[current WEkEO dataset]:[Proposed new WEkEO Collection ID]],3,FALSE),"-") &amp; " / " &amp; IFERROR(VLOOKUP(WEkEO[[#This Row],['#]],Table5[[current WEkEO dataset]:[Proposed new WEkEO Collection ID]],6,FALSE),"-")</f>
        <v>- / -</v>
      </c>
      <c r="G169" s="16" t="str">
        <f>IFERROR(VLOOKUP(WEkEO[[#This Row],['#]],Table5[[current WEkEO dataset]:[Proposed new WEkEO Collection ID]],8,FALSE),"-")</f>
        <v>-</v>
      </c>
      <c r="H169" s="1" t="s">
        <v>21</v>
      </c>
    </row>
    <row r="170" spans="1:8">
      <c r="A170" s="1">
        <f t="shared" si="2"/>
        <v>169</v>
      </c>
      <c r="B170" s="1" t="s">
        <v>151</v>
      </c>
      <c r="C170" s="1" t="s">
        <v>164</v>
      </c>
      <c r="D170" s="2" t="s">
        <v>111</v>
      </c>
      <c r="E170" s="8" t="s">
        <v>153</v>
      </c>
      <c r="F170" s="16" t="str">
        <f>IFERROR(VLOOKUP(WEkEO[[#This Row],['#]],Table5[[current WEkEO dataset]:[Proposed new WEkEO Collection ID]],3,FALSE),"-") &amp; " / " &amp; IFERROR(VLOOKUP(WEkEO[[#This Row],['#]],Table5[[current WEkEO dataset]:[Proposed new WEkEO Collection ID]],6,FALSE),"-")</f>
        <v>CLMS / clms_vlcc_tree-cover-density_europe_100m_yearly_v1</v>
      </c>
      <c r="G170" s="16" t="str">
        <f>IFERROR(VLOOKUP(WEkEO[[#This Row],['#]],Table5[[current WEkEO dataset]:[Proposed new WEkEO Collection ID]],8,FALSE),"-")</f>
        <v>EO:CLMS:CDSE:TCD</v>
      </c>
      <c r="H170" s="1" t="s">
        <v>22</v>
      </c>
    </row>
    <row r="171" spans="1:8">
      <c r="A171" s="1">
        <f t="shared" si="2"/>
        <v>170</v>
      </c>
      <c r="B171" s="1" t="s">
        <v>151</v>
      </c>
      <c r="C171" s="1" t="s">
        <v>164</v>
      </c>
      <c r="D171" s="2" t="s">
        <v>112</v>
      </c>
      <c r="E171" s="8" t="s">
        <v>156</v>
      </c>
      <c r="F171" s="16" t="str">
        <f>IFERROR(VLOOKUP(WEkEO[[#This Row],['#]],Table5[[current WEkEO dataset]:[Proposed new WEkEO Collection ID]],3,FALSE),"-") &amp; " / " &amp; IFERROR(VLOOKUP(WEkEO[[#This Row],['#]],Table5[[current WEkEO dataset]:[Proposed new WEkEO Collection ID]],6,FALSE),"-")</f>
        <v>- / -</v>
      </c>
      <c r="G171" s="16" t="str">
        <f>IFERROR(VLOOKUP(WEkEO[[#This Row],['#]],Table5[[current WEkEO dataset]:[Proposed new WEkEO Collection ID]],8,FALSE),"-")</f>
        <v>-</v>
      </c>
      <c r="H171" s="1" t="s">
        <v>21</v>
      </c>
    </row>
    <row r="172" spans="1:8">
      <c r="A172" s="1">
        <f t="shared" si="2"/>
        <v>171</v>
      </c>
      <c r="B172" s="1" t="s">
        <v>151</v>
      </c>
      <c r="C172" s="1" t="s">
        <v>164</v>
      </c>
      <c r="D172" s="2" t="s">
        <v>20</v>
      </c>
      <c r="E172" s="8" t="s">
        <v>153</v>
      </c>
      <c r="F172" s="16" t="str">
        <f>IFERROR(VLOOKUP(WEkEO[[#This Row],['#]],Table5[[current WEkEO dataset]:[Proposed new WEkEO Collection ID]],3,FALSE),"-") &amp; " / " &amp; IFERROR(VLOOKUP(WEkEO[[#This Row],['#]],Table5[[current WEkEO dataset]:[Proposed new WEkEO Collection ID]],6,FALSE),"-")</f>
        <v>CLMS / clms_vlcc_tree-cover-density_europe_10m_yearly_v1</v>
      </c>
      <c r="G172" s="16" t="str">
        <f>IFERROR(VLOOKUP(WEkEO[[#This Row],['#]],Table5[[current WEkEO dataset]:[Proposed new WEkEO Collection ID]],8,FALSE),"-")</f>
        <v>EO:CLMS:CDSE:TCD</v>
      </c>
      <c r="H172" s="1" t="s">
        <v>22</v>
      </c>
    </row>
    <row r="173" spans="1:8">
      <c r="A173" s="1">
        <f t="shared" si="2"/>
        <v>172</v>
      </c>
      <c r="B173" s="1" t="s">
        <v>151</v>
      </c>
      <c r="C173" s="1" t="s">
        <v>165</v>
      </c>
      <c r="D173" s="2" t="s">
        <v>20</v>
      </c>
      <c r="E173" s="8" t="s">
        <v>153</v>
      </c>
      <c r="F173" s="16" t="str">
        <f>IFERROR(VLOOKUP(WEkEO[[#This Row],['#]],Table5[[current WEkEO dataset]:[Proposed new WEkEO Collection ID]],3,FALSE),"-") &amp; " / " &amp; IFERROR(VLOOKUP(WEkEO[[#This Row],['#]],Table5[[current WEkEO dataset]:[Proposed new WEkEO Collection ID]],6,FALSE),"-")</f>
        <v>CLMS / clms_vlcc_tree-cover-density-confidence-layer_europe_10m_yearly_v1</v>
      </c>
      <c r="G173" s="16" t="str">
        <f>IFERROR(VLOOKUP(WEkEO[[#This Row],['#]],Table5[[current WEkEO dataset]:[Proposed new WEkEO Collection ID]],8,FALSE),"-")</f>
        <v>EO:CLMS:CDSE:TCD</v>
      </c>
      <c r="H173" s="1" t="s">
        <v>22</v>
      </c>
    </row>
    <row r="174" spans="1:8">
      <c r="A174" s="1">
        <f t="shared" si="2"/>
        <v>173</v>
      </c>
      <c r="B174" s="1" t="s">
        <v>151</v>
      </c>
      <c r="C174" s="1" t="s">
        <v>166</v>
      </c>
      <c r="D174" s="2" t="s">
        <v>112</v>
      </c>
      <c r="E174" s="8" t="s">
        <v>115</v>
      </c>
      <c r="F174" s="16" t="str">
        <f>IFERROR(VLOOKUP(WEkEO[[#This Row],['#]],Table5[[current WEkEO dataset]:[Proposed new WEkEO Collection ID]],3,FALSE),"-") &amp; " / " &amp; IFERROR(VLOOKUP(WEkEO[[#This Row],['#]],Table5[[current WEkEO dataset]:[Proposed new WEkEO Collection ID]],6,FALSE),"-")</f>
        <v>CLMS / clms_vlcc_tree-cover-presence-change_europe_20m_3yearly_v1</v>
      </c>
      <c r="G174" s="16" t="str">
        <f>IFERROR(VLOOKUP(WEkEO[[#This Row],['#]],Table5[[current WEkEO dataset]:[Proposed new WEkEO Collection ID]],8,FALSE),"-")</f>
        <v>EO:CLMS:CDSE:TCD</v>
      </c>
      <c r="H174" s="1" t="s">
        <v>22</v>
      </c>
    </row>
    <row r="175" spans="1:8">
      <c r="A175" s="1">
        <f t="shared" si="2"/>
        <v>174</v>
      </c>
      <c r="B175" s="1" t="s">
        <v>151</v>
      </c>
      <c r="C175" s="1" t="s">
        <v>167</v>
      </c>
      <c r="D175" s="2" t="s">
        <v>112</v>
      </c>
      <c r="E175" s="8" t="s">
        <v>115</v>
      </c>
      <c r="F175" s="16" t="str">
        <f>IFERROR(VLOOKUP(WEkEO[[#This Row],['#]],Table5[[current WEkEO dataset]:[Proposed new WEkEO Collection ID]],3,FALSE),"-") &amp; " / " &amp; IFERROR(VLOOKUP(WEkEO[[#This Row],['#]],Table5[[current WEkEO dataset]:[Proposed new WEkEO Collection ID]],6,FALSE),"-")</f>
        <v>CLMS / clms_vlcc_tree-cover-presence-change-confidence-layer_europe_20m_3yearly_v1</v>
      </c>
      <c r="G175" s="16" t="str">
        <f>IFERROR(VLOOKUP(WEkEO[[#This Row],['#]],Table5[[current WEkEO dataset]:[Proposed new WEkEO Collection ID]],8,FALSE),"-")</f>
        <v>EO:CLMS:CDSE:TCD</v>
      </c>
      <c r="H175" s="1" t="s">
        <v>22</v>
      </c>
    </row>
    <row r="176" spans="1:8">
      <c r="A176" s="1">
        <f t="shared" si="2"/>
        <v>175</v>
      </c>
      <c r="B176" s="1" t="s">
        <v>168</v>
      </c>
      <c r="C176" s="1" t="s">
        <v>169</v>
      </c>
      <c r="D176" s="2" t="s">
        <v>111</v>
      </c>
      <c r="E176" s="8" t="s">
        <v>170</v>
      </c>
      <c r="F176" s="16" t="str">
        <f>IFERROR(VLOOKUP(WEkEO[[#This Row],['#]],Table5[[current WEkEO dataset]:[Proposed new WEkEO Collection ID]],3,FALSE),"-") &amp; " / " &amp; IFERROR(VLOOKUP(WEkEO[[#This Row],['#]],Table5[[current WEkEO dataset]:[Proposed new WEkEO Collection ID]],6,FALSE),"-")</f>
        <v>- / -</v>
      </c>
      <c r="G176" s="16" t="str">
        <f>IFERROR(VLOOKUP(WEkEO[[#This Row],['#]],Table5[[current WEkEO dataset]:[Proposed new WEkEO Collection ID]],8,FALSE),"-")</f>
        <v>-</v>
      </c>
      <c r="H176" s="1" t="s">
        <v>21</v>
      </c>
    </row>
    <row r="177" spans="1:8">
      <c r="A177" s="1">
        <f t="shared" si="2"/>
        <v>176</v>
      </c>
      <c r="B177" s="1" t="s">
        <v>168</v>
      </c>
      <c r="C177" s="1" t="s">
        <v>169</v>
      </c>
      <c r="D177" s="2" t="s">
        <v>20</v>
      </c>
      <c r="E177" s="8">
        <v>2018</v>
      </c>
      <c r="F177" s="16" t="str">
        <f>IFERROR(VLOOKUP(WEkEO[[#This Row],['#]],Table5[[current WEkEO dataset]:[Proposed new WEkEO Collection ID]],3,FALSE),"-") &amp; " / " &amp; IFERROR(VLOOKUP(WEkEO[[#This Row],['#]],Table5[[current WEkEO dataset]:[Proposed new WEkEO Collection ID]],6,FALSE),"-")</f>
        <v>- / -</v>
      </c>
      <c r="G177" s="16" t="str">
        <f>IFERROR(VLOOKUP(WEkEO[[#This Row],['#]],Table5[[current WEkEO dataset]:[Proposed new WEkEO Collection ID]],8,FALSE),"-")</f>
        <v>-</v>
      </c>
      <c r="H177" s="1" t="s">
        <v>21</v>
      </c>
    </row>
    <row r="178" spans="1:8">
      <c r="A178" s="1">
        <f t="shared" si="2"/>
        <v>177</v>
      </c>
      <c r="B178" s="1" t="s">
        <v>168</v>
      </c>
      <c r="C178" s="1" t="s">
        <v>169</v>
      </c>
      <c r="D178" s="2" t="s">
        <v>112</v>
      </c>
      <c r="E178" s="8">
        <v>2015</v>
      </c>
      <c r="F178" s="16" t="str">
        <f>IFERROR(VLOOKUP(WEkEO[[#This Row],['#]],Table5[[current WEkEO dataset]:[Proposed new WEkEO Collection ID]],3,FALSE),"-") &amp; " / " &amp; IFERROR(VLOOKUP(WEkEO[[#This Row],['#]],Table5[[current WEkEO dataset]:[Proposed new WEkEO Collection ID]],6,FALSE),"-")</f>
        <v>- / -</v>
      </c>
      <c r="G178" s="16" t="str">
        <f>IFERROR(VLOOKUP(WEkEO[[#This Row],['#]],Table5[[current WEkEO dataset]:[Proposed new WEkEO Collection ID]],8,FALSE),"-")</f>
        <v>-</v>
      </c>
      <c r="H178" s="1" t="s">
        <v>21</v>
      </c>
    </row>
  </sheetData>
  <sheetProtection formatCells="0" formatColumns="0" formatRows="0" insertColumns="0" insertRows="0" insertHyperlinks="0" deleteColumns="0" deleteRows="0" sort="0" autoFilter="0" pivotTables="0"/>
  <phoneticPr fontId="4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4D9FD-28CB-4FC8-9FAE-E3C007C1972A}">
  <dimension ref="A1:L148"/>
  <sheetViews>
    <sheetView tabSelected="1" topLeftCell="D1" zoomScale="90" zoomScaleNormal="90" workbookViewId="0">
      <selection activeCell="L16" sqref="L16"/>
    </sheetView>
  </sheetViews>
  <sheetFormatPr defaultColWidth="9.140625" defaultRowHeight="15"/>
  <cols>
    <col min="1" max="1" width="9.7109375" style="2" customWidth="1"/>
    <col min="2" max="2" width="24.42578125" style="2" bestFit="1" customWidth="1"/>
    <col min="3" max="3" width="11.140625" style="2" bestFit="1" customWidth="1"/>
    <col min="4" max="4" width="11.28515625" style="1" customWidth="1"/>
    <col min="5" max="5" width="30.85546875" style="1" bestFit="1" customWidth="1"/>
    <col min="6" max="6" width="48.42578125" style="1" customWidth="1"/>
    <col min="7" max="7" width="73.85546875" style="1" customWidth="1"/>
    <col min="8" max="8" width="62.42578125" style="8" bestFit="1" customWidth="1"/>
    <col min="9" max="9" width="40.7109375" style="1" customWidth="1"/>
    <col min="10" max="10" width="53.140625" style="1" bestFit="1" customWidth="1"/>
    <col min="11" max="11" width="25.42578125" style="1" customWidth="1"/>
    <col min="12" max="12" width="42.28515625" style="1" bestFit="1" customWidth="1"/>
    <col min="13" max="16384" width="9.140625" style="1"/>
  </cols>
  <sheetData>
    <row r="1" spans="1:12">
      <c r="A1" s="2" t="s">
        <v>0</v>
      </c>
      <c r="B1" s="15" t="s">
        <v>171</v>
      </c>
      <c r="C1" s="2" t="s">
        <v>172</v>
      </c>
      <c r="D1" s="3" t="s">
        <v>173</v>
      </c>
      <c r="E1" s="3" t="s">
        <v>174</v>
      </c>
      <c r="F1" s="3" t="s">
        <v>2</v>
      </c>
      <c r="G1" s="3" t="s">
        <v>175</v>
      </c>
      <c r="H1" s="9" t="s">
        <v>176</v>
      </c>
      <c r="I1" s="4" t="s">
        <v>177</v>
      </c>
      <c r="J1" s="5" t="s">
        <v>4</v>
      </c>
      <c r="K1" s="5" t="s">
        <v>3</v>
      </c>
      <c r="L1" s="5" t="s">
        <v>178</v>
      </c>
    </row>
    <row r="2" spans="1:12">
      <c r="A2" s="2">
        <v>1</v>
      </c>
      <c r="B2" s="6">
        <v>178</v>
      </c>
      <c r="C2" s="2" t="s">
        <v>179</v>
      </c>
      <c r="D2" s="1" t="s">
        <v>180</v>
      </c>
      <c r="E2" s="1" t="s">
        <v>181</v>
      </c>
      <c r="F2" s="1" t="s">
        <v>182</v>
      </c>
      <c r="G2" s="1" t="s">
        <v>183</v>
      </c>
      <c r="H2" t="str">
        <f>IFERROR(VLOOKUP(Table5[[#This Row],[current WEkEO dataset]],WEkEO[],2,FALSE),"-")&amp;" / "&amp;IFERROR(VLOOKUP(Table5[[#This Row],[current WEkEO dataset]],WEkEO[],3,FALSE),"-")</f>
        <v>- / -</v>
      </c>
      <c r="I2" s="1" t="s">
        <v>184</v>
      </c>
      <c r="J2" s="1" t="s">
        <v>185</v>
      </c>
      <c r="K2" s="1" t="str" cm="1">
        <f t="array" ref="K2">INDEX(_xlfn.TEXTSPLIT(TRIM(Table5[[#This Row],[datasetIdentifier]]), "_"), COLUMNS(_xlfn.TEXTSPLIT(TRIM(Table5[[#This Row],[datasetIdentifier]]), "_")) - 2)</f>
        <v>300m</v>
      </c>
    </row>
    <row r="3" spans="1:12">
      <c r="A3" s="2">
        <f>A2+1</f>
        <v>2</v>
      </c>
      <c r="B3" s="6">
        <v>178</v>
      </c>
      <c r="C3" s="2" t="s">
        <v>179</v>
      </c>
      <c r="D3" s="1" t="s">
        <v>180</v>
      </c>
      <c r="E3" s="1" t="s">
        <v>181</v>
      </c>
      <c r="F3" s="1" t="s">
        <v>182</v>
      </c>
      <c r="G3" s="1" t="s">
        <v>186</v>
      </c>
      <c r="H3" t="str">
        <f>IFERROR(VLOOKUP(Table5[[#This Row],[current WEkEO dataset]],WEkEO[],2,FALSE),"-")&amp;" / "&amp;IFERROR(VLOOKUP(Table5[[#This Row],[current WEkEO dataset]],WEkEO[],3,FALSE),"-")</f>
        <v>- / -</v>
      </c>
      <c r="I3" s="1" t="s">
        <v>184</v>
      </c>
      <c r="J3" s="1" t="s">
        <v>187</v>
      </c>
      <c r="K3" s="1" t="str" cm="1">
        <f t="array" ref="K3">INDEX(_xlfn.TEXTSPLIT(TRIM(Table5[[#This Row],[datasetIdentifier]]), "_"), COLUMNS(_xlfn.TEXTSPLIT(TRIM(Table5[[#This Row],[datasetIdentifier]]), "_")) - 2)</f>
        <v>300m</v>
      </c>
    </row>
    <row r="4" spans="1:12">
      <c r="A4" s="2">
        <f t="shared" ref="A4:A67" si="0">A3+1</f>
        <v>3</v>
      </c>
      <c r="B4" s="6">
        <v>178</v>
      </c>
      <c r="C4" s="2" t="s">
        <v>179</v>
      </c>
      <c r="D4" s="1" t="s">
        <v>180</v>
      </c>
      <c r="E4" s="1" t="s">
        <v>181</v>
      </c>
      <c r="F4" s="1" t="s">
        <v>182</v>
      </c>
      <c r="G4" s="1" t="s">
        <v>188</v>
      </c>
      <c r="H4" t="str">
        <f>IFERROR(VLOOKUP(Table5[[#This Row],[current WEkEO dataset]],WEkEO[],2,FALSE),"-")&amp;" / "&amp;IFERROR(VLOOKUP(Table5[[#This Row],[current WEkEO dataset]],WEkEO[],3,FALSE),"-")</f>
        <v>- / -</v>
      </c>
      <c r="I4" s="1" t="s">
        <v>184</v>
      </c>
      <c r="J4" s="1" t="s">
        <v>189</v>
      </c>
      <c r="K4" s="1" t="str" cm="1">
        <f t="array" ref="K4">INDEX(_xlfn.TEXTSPLIT(TRIM(Table5[[#This Row],[datasetIdentifier]]), "_"), COLUMNS(_xlfn.TEXTSPLIT(TRIM(Table5[[#This Row],[datasetIdentifier]]), "_")) - 2)</f>
        <v>300m</v>
      </c>
    </row>
    <row r="5" spans="1:12">
      <c r="A5" s="2">
        <f t="shared" si="0"/>
        <v>4</v>
      </c>
      <c r="B5" s="6">
        <v>178</v>
      </c>
      <c r="C5" s="2" t="s">
        <v>179</v>
      </c>
      <c r="D5" s="1" t="s">
        <v>180</v>
      </c>
      <c r="E5" s="1" t="s">
        <v>181</v>
      </c>
      <c r="F5" s="1" t="s">
        <v>182</v>
      </c>
      <c r="G5" s="1" t="s">
        <v>190</v>
      </c>
      <c r="H5" t="str">
        <f>IFERROR(VLOOKUP(Table5[[#This Row],[current WEkEO dataset]],WEkEO[],2,FALSE),"-")&amp;" / "&amp;IFERROR(VLOOKUP(Table5[[#This Row],[current WEkEO dataset]],WEkEO[],3,FALSE),"-")</f>
        <v>- / -</v>
      </c>
      <c r="I5" s="1" t="s">
        <v>184</v>
      </c>
      <c r="J5" s="1" t="s">
        <v>191</v>
      </c>
      <c r="K5" s="1" t="str" cm="1">
        <f t="array" ref="K5">INDEX(_xlfn.TEXTSPLIT(TRIM(Table5[[#This Row],[datasetIdentifier]]), "_"), COLUMNS(_xlfn.TEXTSPLIT(TRIM(Table5[[#This Row],[datasetIdentifier]]), "_")) - 2)</f>
        <v>300m</v>
      </c>
    </row>
    <row r="6" spans="1:12" ht="43.5">
      <c r="A6" s="2">
        <f t="shared" si="0"/>
        <v>5</v>
      </c>
      <c r="B6" s="6">
        <v>178</v>
      </c>
      <c r="C6" s="2" t="s">
        <v>179</v>
      </c>
      <c r="D6" s="1" t="s">
        <v>180</v>
      </c>
      <c r="E6" s="1" t="s">
        <v>181</v>
      </c>
      <c r="F6" s="1" t="s">
        <v>192</v>
      </c>
      <c r="G6" s="1" t="s">
        <v>193</v>
      </c>
      <c r="H6" t="str">
        <f>IFERROR(VLOOKUP(Table5[[#This Row],[current WEkEO dataset]],WEkEO[],2,FALSE),"-")&amp;" / "&amp;IFERROR(VLOOKUP(Table5[[#This Row],[current WEkEO dataset]],WEkEO[],3,FALSE),"-")</f>
        <v>- / -</v>
      </c>
      <c r="I6" s="1" t="s">
        <v>194</v>
      </c>
      <c r="J6" s="23" t="s">
        <v>195</v>
      </c>
      <c r="K6" s="1" t="str" cm="1">
        <f t="array" ref="K6">INDEX(_xlfn.TEXTSPLIT(TRIM(Table5[[#This Row],[datasetIdentifier]]), "_"), COLUMNS(_xlfn.TEXTSPLIT(TRIM(Table5[[#This Row],[datasetIdentifier]]), "_")) - 2)</f>
        <v>1km</v>
      </c>
    </row>
    <row r="7" spans="1:12" ht="29.25">
      <c r="A7" s="2">
        <f t="shared" si="0"/>
        <v>6</v>
      </c>
      <c r="B7" s="6">
        <v>178</v>
      </c>
      <c r="C7" s="2" t="s">
        <v>179</v>
      </c>
      <c r="D7" s="1" t="s">
        <v>180</v>
      </c>
      <c r="E7" s="1" t="s">
        <v>181</v>
      </c>
      <c r="F7" s="1" t="s">
        <v>192</v>
      </c>
      <c r="G7" s="1" t="s">
        <v>196</v>
      </c>
      <c r="H7" t="str">
        <f>IFERROR(VLOOKUP(Table5[[#This Row],[current WEkEO dataset]],WEkEO[],2,FALSE),"-")&amp;" / "&amp;IFERROR(VLOOKUP(Table5[[#This Row],[current WEkEO dataset]],WEkEO[],3,FALSE),"-")</f>
        <v>- / -</v>
      </c>
      <c r="I7" s="1" t="s">
        <v>194</v>
      </c>
      <c r="J7" s="23" t="s">
        <v>197</v>
      </c>
      <c r="K7" s="1" t="str" cm="1">
        <f t="array" ref="K7">INDEX(_xlfn.TEXTSPLIT(TRIM(Table5[[#This Row],[datasetIdentifier]]), "_"), COLUMNS(_xlfn.TEXTSPLIT(TRIM(Table5[[#This Row],[datasetIdentifier]]), "_")) - 2)</f>
        <v>300m</v>
      </c>
    </row>
    <row r="8" spans="1:12" ht="29.25">
      <c r="A8" s="2">
        <f t="shared" si="0"/>
        <v>7</v>
      </c>
      <c r="B8" s="6">
        <v>178</v>
      </c>
      <c r="C8" s="2" t="s">
        <v>179</v>
      </c>
      <c r="D8" s="1" t="s">
        <v>180</v>
      </c>
      <c r="E8" s="1" t="s">
        <v>181</v>
      </c>
      <c r="F8" s="1" t="s">
        <v>192</v>
      </c>
      <c r="G8" s="1" t="s">
        <v>198</v>
      </c>
      <c r="H8" t="str">
        <f>IFERROR(VLOOKUP(Table5[[#This Row],[current WEkEO dataset]],WEkEO[],2,FALSE),"-")&amp;" / "&amp;IFERROR(VLOOKUP(Table5[[#This Row],[current WEkEO dataset]],WEkEO[],3,FALSE),"-")</f>
        <v>- / -</v>
      </c>
      <c r="I8" s="1" t="s">
        <v>194</v>
      </c>
      <c r="J8" s="23" t="s">
        <v>199</v>
      </c>
      <c r="K8" s="1" t="str" cm="1">
        <f t="array" ref="K8">INDEX(_xlfn.TEXTSPLIT(TRIM(Table5[[#This Row],[datasetIdentifier]]), "_"), COLUMNS(_xlfn.TEXTSPLIT(TRIM(Table5[[#This Row],[datasetIdentifier]]), "_")) - 2)</f>
        <v>300m</v>
      </c>
    </row>
    <row r="9" spans="1:12" ht="43.5">
      <c r="A9" s="2">
        <f t="shared" si="0"/>
        <v>8</v>
      </c>
      <c r="B9" s="6">
        <v>178</v>
      </c>
      <c r="C9" s="2" t="s">
        <v>179</v>
      </c>
      <c r="D9" s="1" t="s">
        <v>180</v>
      </c>
      <c r="E9" s="1" t="s">
        <v>181</v>
      </c>
      <c r="F9" s="1" t="s">
        <v>192</v>
      </c>
      <c r="G9" s="1" t="s">
        <v>200</v>
      </c>
      <c r="H9" t="str">
        <f>IFERROR(VLOOKUP(Table5[[#This Row],[current WEkEO dataset]],WEkEO[],2,FALSE),"-")&amp;" / "&amp;IFERROR(VLOOKUP(Table5[[#This Row],[current WEkEO dataset]],WEkEO[],3,FALSE),"-")</f>
        <v>- / -</v>
      </c>
      <c r="I9" s="1" t="s">
        <v>194</v>
      </c>
      <c r="J9" s="23" t="s">
        <v>195</v>
      </c>
      <c r="K9" s="1" t="str" cm="1">
        <f t="array" ref="K9">INDEX(_xlfn.TEXTSPLIT(TRIM(Table5[[#This Row],[datasetIdentifier]]), "_"), COLUMNS(_xlfn.TEXTSPLIT(TRIM(Table5[[#This Row],[datasetIdentifier]]), "_")) - 2)</f>
        <v>1km</v>
      </c>
    </row>
    <row r="10" spans="1:12" ht="29.25">
      <c r="A10" s="2">
        <f t="shared" si="0"/>
        <v>9</v>
      </c>
      <c r="B10" s="6">
        <v>178</v>
      </c>
      <c r="C10" s="2" t="s">
        <v>179</v>
      </c>
      <c r="D10" s="1" t="s">
        <v>180</v>
      </c>
      <c r="E10" s="1" t="s">
        <v>181</v>
      </c>
      <c r="F10" s="1" t="s">
        <v>192</v>
      </c>
      <c r="G10" s="1" t="s">
        <v>201</v>
      </c>
      <c r="H10" t="str">
        <f>IFERROR(VLOOKUP(Table5[[#This Row],[current WEkEO dataset]],WEkEO[],2,FALSE),"-")&amp;" / "&amp;IFERROR(VLOOKUP(Table5[[#This Row],[current WEkEO dataset]],WEkEO[],3,FALSE),"-")</f>
        <v>- / -</v>
      </c>
      <c r="I10" s="1" t="s">
        <v>194</v>
      </c>
      <c r="J10" s="23" t="s">
        <v>197</v>
      </c>
      <c r="K10" s="1" t="str" cm="1">
        <f t="array" ref="K10">INDEX(_xlfn.TEXTSPLIT(TRIM(Table5[[#This Row],[datasetIdentifier]]), "_"), COLUMNS(_xlfn.TEXTSPLIT(TRIM(Table5[[#This Row],[datasetIdentifier]]), "_")) - 2)</f>
        <v>300m</v>
      </c>
    </row>
    <row r="11" spans="1:12" ht="29.25">
      <c r="A11" s="2">
        <f t="shared" si="0"/>
        <v>10</v>
      </c>
      <c r="B11" s="6">
        <v>178</v>
      </c>
      <c r="C11" s="2" t="s">
        <v>179</v>
      </c>
      <c r="D11" s="1" t="s">
        <v>180</v>
      </c>
      <c r="E11" s="1" t="s">
        <v>181</v>
      </c>
      <c r="F11" s="1" t="s">
        <v>192</v>
      </c>
      <c r="G11" s="1" t="s">
        <v>202</v>
      </c>
      <c r="H11" t="str">
        <f>IFERROR(VLOOKUP(Table5[[#This Row],[current WEkEO dataset]],WEkEO[],2,FALSE),"-")&amp;" / "&amp;IFERROR(VLOOKUP(Table5[[#This Row],[current WEkEO dataset]],WEkEO[],3,FALSE),"-")</f>
        <v>- / -</v>
      </c>
      <c r="I11" s="1" t="s">
        <v>194</v>
      </c>
      <c r="J11" s="23" t="s">
        <v>199</v>
      </c>
      <c r="K11" s="1" t="str" cm="1">
        <f t="array" ref="K11">INDEX(_xlfn.TEXTSPLIT(TRIM(Table5[[#This Row],[datasetIdentifier]]), "_"), COLUMNS(_xlfn.TEXTSPLIT(TRIM(Table5[[#This Row],[datasetIdentifier]]), "_")) - 2)</f>
        <v>300m</v>
      </c>
    </row>
    <row r="12" spans="1:12">
      <c r="A12" s="2">
        <f t="shared" si="0"/>
        <v>11</v>
      </c>
      <c r="B12" s="6">
        <v>178</v>
      </c>
      <c r="C12" s="2" t="s">
        <v>179</v>
      </c>
      <c r="D12" s="1" t="s">
        <v>180</v>
      </c>
      <c r="E12" s="1" t="s">
        <v>181</v>
      </c>
      <c r="F12" s="1" t="s">
        <v>203</v>
      </c>
      <c r="G12" s="1" t="s">
        <v>204</v>
      </c>
      <c r="H12" t="str">
        <f>IFERROR(VLOOKUP(Table5[[#This Row],[current WEkEO dataset]],WEkEO[],2,FALSE),"-")&amp;" / "&amp;IFERROR(VLOOKUP(Table5[[#This Row],[current WEkEO dataset]],WEkEO[],3,FALSE),"-")</f>
        <v>- / -</v>
      </c>
      <c r="I12" s="1" t="s">
        <v>205</v>
      </c>
      <c r="J12" s="1" t="s">
        <v>206</v>
      </c>
      <c r="K12" s="1" t="str" cm="1">
        <f t="array" ref="K12">INDEX(_xlfn.TEXTSPLIT(TRIM(Table5[[#This Row],[datasetIdentifier]]), "_"), COLUMNS(_xlfn.TEXTSPLIT(TRIM(Table5[[#This Row],[datasetIdentifier]]), "_")) - 2)</f>
        <v>300m</v>
      </c>
    </row>
    <row r="13" spans="1:12">
      <c r="A13" s="2">
        <f t="shared" si="0"/>
        <v>12</v>
      </c>
      <c r="B13" s="6">
        <v>178</v>
      </c>
      <c r="C13" s="2" t="s">
        <v>179</v>
      </c>
      <c r="D13" s="1" t="s">
        <v>180</v>
      </c>
      <c r="E13" s="1" t="s">
        <v>181</v>
      </c>
      <c r="F13" s="1" t="s">
        <v>203</v>
      </c>
      <c r="G13" s="1" t="s">
        <v>207</v>
      </c>
      <c r="H13" t="str">
        <f>IFERROR(VLOOKUP(Table5[[#This Row],[current WEkEO dataset]],WEkEO[],2,FALSE),"-")&amp;" / "&amp;IFERROR(VLOOKUP(Table5[[#This Row],[current WEkEO dataset]],WEkEO[],3,FALSE),"-")</f>
        <v>- / -</v>
      </c>
      <c r="I13" s="1" t="s">
        <v>205</v>
      </c>
      <c r="J13" s="1" t="s">
        <v>206</v>
      </c>
      <c r="K13" s="1" t="str" cm="1">
        <f t="array" ref="K13">INDEX(_xlfn.TEXTSPLIT(TRIM(Table5[[#This Row],[datasetIdentifier]]), "_"), COLUMNS(_xlfn.TEXTSPLIT(TRIM(Table5[[#This Row],[datasetIdentifier]]), "_")) - 2)</f>
        <v>300m</v>
      </c>
    </row>
    <row r="14" spans="1:12" ht="29.25">
      <c r="A14" s="2">
        <f t="shared" si="0"/>
        <v>13</v>
      </c>
      <c r="B14" s="6">
        <v>178</v>
      </c>
      <c r="C14" s="2" t="s">
        <v>179</v>
      </c>
      <c r="D14" s="1" t="s">
        <v>180</v>
      </c>
      <c r="E14" s="1" t="s">
        <v>181</v>
      </c>
      <c r="F14" s="1" t="s">
        <v>208</v>
      </c>
      <c r="G14" s="1" t="s">
        <v>209</v>
      </c>
      <c r="H14" t="str">
        <f>IFERROR(VLOOKUP(Table5[[#This Row],[current WEkEO dataset]],WEkEO[],2,FALSE),"-")&amp;" / "&amp;IFERROR(VLOOKUP(Table5[[#This Row],[current WEkEO dataset]],WEkEO[],3,FALSE),"-")</f>
        <v>- / -</v>
      </c>
      <c r="I14" s="1" t="s">
        <v>210</v>
      </c>
      <c r="J14" s="23" t="s">
        <v>211</v>
      </c>
      <c r="K14" s="1" t="str" cm="1">
        <f t="array" ref="K14">INDEX(_xlfn.TEXTSPLIT(TRIM(Table5[[#This Row],[datasetIdentifier]]), "_"), COLUMNS(_xlfn.TEXTSPLIT(TRIM(Table5[[#This Row],[datasetIdentifier]]), "_")) - 2)</f>
        <v>1km</v>
      </c>
    </row>
    <row r="15" spans="1:12" ht="29.25">
      <c r="A15" s="2">
        <f t="shared" si="0"/>
        <v>14</v>
      </c>
      <c r="B15" s="6">
        <v>178</v>
      </c>
      <c r="C15" s="2" t="s">
        <v>179</v>
      </c>
      <c r="D15" s="1" t="s">
        <v>180</v>
      </c>
      <c r="E15" s="1" t="s">
        <v>181</v>
      </c>
      <c r="F15" s="1" t="s">
        <v>208</v>
      </c>
      <c r="G15" s="1" t="s">
        <v>212</v>
      </c>
      <c r="H15" t="str">
        <f>IFERROR(VLOOKUP(Table5[[#This Row],[current WEkEO dataset]],WEkEO[],2,FALSE),"-")&amp;" / "&amp;IFERROR(VLOOKUP(Table5[[#This Row],[current WEkEO dataset]],WEkEO[],3,FALSE),"-")</f>
        <v>- / -</v>
      </c>
      <c r="I15" s="1" t="s">
        <v>210</v>
      </c>
      <c r="J15" s="23" t="s">
        <v>213</v>
      </c>
      <c r="K15" s="1" t="str" cm="1">
        <f t="array" ref="K15">INDEX(_xlfn.TEXTSPLIT(TRIM(Table5[[#This Row],[datasetIdentifier]]), "_"), COLUMNS(_xlfn.TEXTSPLIT(TRIM(Table5[[#This Row],[datasetIdentifier]]), "_")) - 2)</f>
        <v>1km</v>
      </c>
    </row>
    <row r="16" spans="1:12">
      <c r="A16" s="2">
        <f t="shared" si="0"/>
        <v>15</v>
      </c>
      <c r="B16" s="6">
        <v>178</v>
      </c>
      <c r="C16" s="2" t="s">
        <v>179</v>
      </c>
      <c r="D16" s="1" t="s">
        <v>180</v>
      </c>
      <c r="E16" s="1" t="s">
        <v>181</v>
      </c>
      <c r="F16" s="1" t="s">
        <v>214</v>
      </c>
      <c r="G16" s="1" t="s">
        <v>215</v>
      </c>
      <c r="H16" t="str">
        <f>IFERROR(VLOOKUP(Table5[[#This Row],[current WEkEO dataset]],WEkEO[],2,FALSE),"-")&amp;" / "&amp;IFERROR(VLOOKUP(Table5[[#This Row],[current WEkEO dataset]],WEkEO[],3,FALSE),"-")</f>
        <v>- / -</v>
      </c>
      <c r="I16" s="1" t="s">
        <v>216</v>
      </c>
      <c r="J16" s="24" t="s">
        <v>217</v>
      </c>
      <c r="K16" s="1" t="str" cm="1">
        <f t="array" ref="K16">INDEX(_xlfn.TEXTSPLIT(TRIM(Table5[[#This Row],[datasetIdentifier]]), "_"), COLUMNS(_xlfn.TEXTSPLIT(TRIM(Table5[[#This Row],[datasetIdentifier]]), "_")) - 2)</f>
        <v>100m</v>
      </c>
    </row>
    <row r="17" spans="1:11">
      <c r="A17" s="2">
        <f t="shared" si="0"/>
        <v>16</v>
      </c>
      <c r="B17" s="6">
        <v>178</v>
      </c>
      <c r="C17" s="2" t="s">
        <v>179</v>
      </c>
      <c r="D17" s="1" t="s">
        <v>180</v>
      </c>
      <c r="E17" s="1" t="s">
        <v>181</v>
      </c>
      <c r="F17" s="1" t="s">
        <v>214</v>
      </c>
      <c r="G17" s="1" t="s">
        <v>218</v>
      </c>
      <c r="H17" t="str">
        <f>IFERROR(VLOOKUP(Table5[[#This Row],[current WEkEO dataset]],WEkEO[],2,FALSE),"-")&amp;" / "&amp;IFERROR(VLOOKUP(Table5[[#This Row],[current WEkEO dataset]],WEkEO[],3,FALSE),"-")</f>
        <v>- / -</v>
      </c>
      <c r="I17" s="1" t="s">
        <v>216</v>
      </c>
      <c r="J17" s="1" t="s">
        <v>187</v>
      </c>
      <c r="K17" s="1" t="str" cm="1">
        <f t="array" ref="K17">INDEX(_xlfn.TEXTSPLIT(TRIM(Table5[[#This Row],[datasetIdentifier]]), "_"), COLUMNS(_xlfn.TEXTSPLIT(TRIM(Table5[[#This Row],[datasetIdentifier]]), "_")) - 2)</f>
        <v>100m</v>
      </c>
    </row>
    <row r="18" spans="1:11">
      <c r="A18" s="2">
        <f t="shared" si="0"/>
        <v>17</v>
      </c>
      <c r="B18" s="6">
        <v>178</v>
      </c>
      <c r="C18" s="2" t="s">
        <v>179</v>
      </c>
      <c r="D18" s="1" t="s">
        <v>180</v>
      </c>
      <c r="E18" s="1" t="s">
        <v>181</v>
      </c>
      <c r="F18" s="1" t="s">
        <v>214</v>
      </c>
      <c r="G18" s="1" t="s">
        <v>219</v>
      </c>
      <c r="H18" t="str">
        <f>IFERROR(VLOOKUP(Table5[[#This Row],[current WEkEO dataset]],WEkEO[],2,FALSE),"-")&amp;" / "&amp;IFERROR(VLOOKUP(Table5[[#This Row],[current WEkEO dataset]],WEkEO[],3,FALSE),"-")</f>
        <v>- / -</v>
      </c>
      <c r="I18" s="1" t="s">
        <v>216</v>
      </c>
      <c r="J18" s="24" t="s">
        <v>220</v>
      </c>
      <c r="K18" s="1" t="str" cm="1">
        <f t="array" ref="K18">INDEX(_xlfn.TEXTSPLIT(TRIM(Table5[[#This Row],[datasetIdentifier]]), "_"), COLUMNS(_xlfn.TEXTSPLIT(TRIM(Table5[[#This Row],[datasetIdentifier]]), "_")) - 2)</f>
        <v>300m</v>
      </c>
    </row>
    <row r="19" spans="1:11">
      <c r="A19" s="2">
        <f t="shared" si="0"/>
        <v>18</v>
      </c>
      <c r="B19" s="6">
        <v>178</v>
      </c>
      <c r="C19" s="2" t="s">
        <v>179</v>
      </c>
      <c r="D19" s="1" t="s">
        <v>180</v>
      </c>
      <c r="E19" s="1" t="s">
        <v>181</v>
      </c>
      <c r="F19" s="1" t="s">
        <v>214</v>
      </c>
      <c r="G19" s="1" t="s">
        <v>221</v>
      </c>
      <c r="H19" t="str">
        <f>IFERROR(VLOOKUP(Table5[[#This Row],[current WEkEO dataset]],WEkEO[],2,FALSE),"-")&amp;" / "&amp;IFERROR(VLOOKUP(Table5[[#This Row],[current WEkEO dataset]],WEkEO[],3,FALSE),"-")</f>
        <v>- / -</v>
      </c>
      <c r="I19" s="1" t="s">
        <v>216</v>
      </c>
      <c r="J19" s="1" t="s">
        <v>187</v>
      </c>
      <c r="K19" s="1" t="str" cm="1">
        <f t="array" ref="K19">INDEX(_xlfn.TEXTSPLIT(TRIM(Table5[[#This Row],[datasetIdentifier]]), "_"), COLUMNS(_xlfn.TEXTSPLIT(TRIM(Table5[[#This Row],[datasetIdentifier]]), "_")) - 2)</f>
        <v>300m</v>
      </c>
    </row>
    <row r="20" spans="1:11" ht="29.25">
      <c r="A20" s="2">
        <f t="shared" si="0"/>
        <v>19</v>
      </c>
      <c r="B20" s="6">
        <v>178</v>
      </c>
      <c r="C20" s="2" t="s">
        <v>179</v>
      </c>
      <c r="D20" s="1" t="s">
        <v>180</v>
      </c>
      <c r="E20" s="1" t="s">
        <v>181</v>
      </c>
      <c r="F20" s="1" t="s">
        <v>214</v>
      </c>
      <c r="G20" s="1" t="s">
        <v>222</v>
      </c>
      <c r="H20" t="str">
        <f>IFERROR(VLOOKUP(Table5[[#This Row],[current WEkEO dataset]],WEkEO[],2,FALSE),"-")&amp;" / "&amp;IFERROR(VLOOKUP(Table5[[#This Row],[current WEkEO dataset]],WEkEO[],3,FALSE),"-")</f>
        <v>- / -</v>
      </c>
      <c r="I20" s="1" t="s">
        <v>216</v>
      </c>
      <c r="J20" s="23" t="s">
        <v>213</v>
      </c>
      <c r="K20" s="1" t="str" cm="1">
        <f t="array" ref="K20">INDEX(_xlfn.TEXTSPLIT(TRIM(Table5[[#This Row],[datasetIdentifier]]), "_"), COLUMNS(_xlfn.TEXTSPLIT(TRIM(Table5[[#This Row],[datasetIdentifier]]), "_")) - 2)</f>
        <v>300m</v>
      </c>
    </row>
    <row r="21" spans="1:11">
      <c r="A21" s="2">
        <f t="shared" si="0"/>
        <v>20</v>
      </c>
      <c r="B21" s="6">
        <v>178</v>
      </c>
      <c r="C21" s="2" t="s">
        <v>179</v>
      </c>
      <c r="D21" s="1" t="s">
        <v>180</v>
      </c>
      <c r="E21" s="1" t="s">
        <v>181</v>
      </c>
      <c r="F21" s="1" t="s">
        <v>223</v>
      </c>
      <c r="G21" s="1" t="s">
        <v>224</v>
      </c>
      <c r="H21" t="str">
        <f>IFERROR(VLOOKUP(Table5[[#This Row],[current WEkEO dataset]],WEkEO[],2,FALSE),"-")&amp;" / "&amp;IFERROR(VLOOKUP(Table5[[#This Row],[current WEkEO dataset]],WEkEO[],3,FALSE),"-")</f>
        <v>- / -</v>
      </c>
      <c r="I21" s="1" t="s">
        <v>225</v>
      </c>
      <c r="J21" s="1" t="s">
        <v>226</v>
      </c>
      <c r="K21" s="1" t="str" cm="1">
        <f t="array" ref="K21">INDEX(_xlfn.TEXTSPLIT(TRIM(Table5[[#This Row],[datasetIdentifier]]), "_"), COLUMNS(_xlfn.TEXTSPLIT(TRIM(Table5[[#This Row],[datasetIdentifier]]), "_")) - 2)</f>
        <v>5km</v>
      </c>
    </row>
    <row r="22" spans="1:11">
      <c r="A22" s="2">
        <f t="shared" si="0"/>
        <v>21</v>
      </c>
      <c r="B22" s="6">
        <v>178</v>
      </c>
      <c r="C22" s="2" t="s">
        <v>179</v>
      </c>
      <c r="D22" s="1" t="s">
        <v>180</v>
      </c>
      <c r="E22" s="1" t="s">
        <v>181</v>
      </c>
      <c r="F22" s="1" t="s">
        <v>223</v>
      </c>
      <c r="G22" s="1" t="s">
        <v>227</v>
      </c>
      <c r="H22" t="str">
        <f>IFERROR(VLOOKUP(Table5[[#This Row],[current WEkEO dataset]],WEkEO[],2,FALSE),"-")&amp;" / "&amp;IFERROR(VLOOKUP(Table5[[#This Row],[current WEkEO dataset]],WEkEO[],3,FALSE),"-")</f>
        <v>- / -</v>
      </c>
      <c r="I22" s="1" t="s">
        <v>225</v>
      </c>
      <c r="J22" s="24" t="s">
        <v>228</v>
      </c>
      <c r="K22" s="1" t="str" cm="1">
        <f t="array" ref="K22">INDEX(_xlfn.TEXTSPLIT(TRIM(Table5[[#This Row],[datasetIdentifier]]), "_"), COLUMNS(_xlfn.TEXTSPLIT(TRIM(Table5[[#This Row],[datasetIdentifier]]), "_")) - 2)</f>
        <v>5km</v>
      </c>
    </row>
    <row r="23" spans="1:11">
      <c r="A23" s="2">
        <f t="shared" si="0"/>
        <v>22</v>
      </c>
      <c r="B23" s="6">
        <v>178</v>
      </c>
      <c r="C23" s="2" t="s">
        <v>179</v>
      </c>
      <c r="D23" s="1" t="s">
        <v>180</v>
      </c>
      <c r="E23" s="1" t="s">
        <v>181</v>
      </c>
      <c r="F23" s="1" t="s">
        <v>223</v>
      </c>
      <c r="G23" s="1" t="s">
        <v>229</v>
      </c>
      <c r="H23" t="str">
        <f>IFERROR(VLOOKUP(Table5[[#This Row],[current WEkEO dataset]],WEkEO[],2,FALSE),"-")&amp;" / "&amp;IFERROR(VLOOKUP(Table5[[#This Row],[current WEkEO dataset]],WEkEO[],3,FALSE),"-")</f>
        <v>- / -</v>
      </c>
      <c r="I23" s="1" t="s">
        <v>225</v>
      </c>
      <c r="J23" s="1" t="s">
        <v>226</v>
      </c>
      <c r="K23" s="1" t="str" cm="1">
        <f t="array" ref="K23">INDEX(_xlfn.TEXTSPLIT(TRIM(Table5[[#This Row],[datasetIdentifier]]), "_"), COLUMNS(_xlfn.TEXTSPLIT(TRIM(Table5[[#This Row],[datasetIdentifier]]), "_")) - 2)</f>
        <v>5km</v>
      </c>
    </row>
    <row r="24" spans="1:11">
      <c r="A24" s="2">
        <f t="shared" si="0"/>
        <v>23</v>
      </c>
      <c r="B24" s="6">
        <v>178</v>
      </c>
      <c r="C24" s="2" t="s">
        <v>179</v>
      </c>
      <c r="D24" s="1" t="s">
        <v>180</v>
      </c>
      <c r="E24" s="1" t="s">
        <v>181</v>
      </c>
      <c r="F24" s="1" t="s">
        <v>223</v>
      </c>
      <c r="G24" s="1" t="s">
        <v>230</v>
      </c>
      <c r="H24" t="str">
        <f>IFERROR(VLOOKUP(Table5[[#This Row],[current WEkEO dataset]],WEkEO[],2,FALSE),"-")&amp;" / "&amp;IFERROR(VLOOKUP(Table5[[#This Row],[current WEkEO dataset]],WEkEO[],3,FALSE),"-")</f>
        <v>- / -</v>
      </c>
      <c r="I24" s="1" t="s">
        <v>225</v>
      </c>
      <c r="J24" s="24" t="s">
        <v>228</v>
      </c>
      <c r="K24" s="1" t="str" cm="1">
        <f t="array" ref="K24">INDEX(_xlfn.TEXTSPLIT(TRIM(Table5[[#This Row],[datasetIdentifier]]), "_"), COLUMNS(_xlfn.TEXTSPLIT(TRIM(Table5[[#This Row],[datasetIdentifier]]), "_")) - 2)</f>
        <v>5km</v>
      </c>
    </row>
    <row r="25" spans="1:11" ht="29.25">
      <c r="A25" s="2">
        <f t="shared" si="0"/>
        <v>24</v>
      </c>
      <c r="B25" s="6">
        <v>178</v>
      </c>
      <c r="C25" s="2" t="s">
        <v>179</v>
      </c>
      <c r="D25" s="1" t="s">
        <v>180</v>
      </c>
      <c r="E25" s="1" t="s">
        <v>181</v>
      </c>
      <c r="F25" s="1" t="s">
        <v>223</v>
      </c>
      <c r="G25" s="1" t="s">
        <v>231</v>
      </c>
      <c r="H25" t="str">
        <f>IFERROR(VLOOKUP(Table5[[#This Row],[current WEkEO dataset]],WEkEO[],2,FALSE),"-")&amp;" / "&amp;IFERROR(VLOOKUP(Table5[[#This Row],[current WEkEO dataset]],WEkEO[],3,FALSE),"-")</f>
        <v>- / -</v>
      </c>
      <c r="I25" s="1" t="s">
        <v>225</v>
      </c>
      <c r="J25" s="22" t="s">
        <v>232</v>
      </c>
      <c r="K25" s="1" t="str" cm="1">
        <f t="array" ref="K25">INDEX(_xlfn.TEXTSPLIT(TRIM(Table5[[#This Row],[datasetIdentifier]]), "_"), COLUMNS(_xlfn.TEXTSPLIT(TRIM(Table5[[#This Row],[datasetIdentifier]]), "_")) - 2)</f>
        <v>5km</v>
      </c>
    </row>
    <row r="26" spans="1:11">
      <c r="A26" s="2">
        <f t="shared" si="0"/>
        <v>25</v>
      </c>
      <c r="B26" s="6">
        <v>178</v>
      </c>
      <c r="C26" s="2" t="s">
        <v>179</v>
      </c>
      <c r="D26" s="1" t="s">
        <v>180</v>
      </c>
      <c r="E26" s="1" t="s">
        <v>181</v>
      </c>
      <c r="F26" s="1" t="s">
        <v>223</v>
      </c>
      <c r="G26" s="1" t="s">
        <v>233</v>
      </c>
      <c r="H26" t="str">
        <f>IFERROR(VLOOKUP(Table5[[#This Row],[current WEkEO dataset]],WEkEO[],2,FALSE),"-")&amp;" / "&amp;IFERROR(VLOOKUP(Table5[[#This Row],[current WEkEO dataset]],WEkEO[],3,FALSE),"-")</f>
        <v>- / -</v>
      </c>
      <c r="I26" s="1" t="s">
        <v>225</v>
      </c>
      <c r="J26" s="24" t="s">
        <v>228</v>
      </c>
      <c r="K26" s="1" t="str" cm="1">
        <f t="array" ref="K26">INDEX(_xlfn.TEXTSPLIT(TRIM(Table5[[#This Row],[datasetIdentifier]]), "_"), COLUMNS(_xlfn.TEXTSPLIT(TRIM(Table5[[#This Row],[datasetIdentifier]]), "_")) - 2)</f>
        <v>5km</v>
      </c>
    </row>
    <row r="27" spans="1:11">
      <c r="A27" s="2">
        <f t="shared" si="0"/>
        <v>26</v>
      </c>
      <c r="B27" s="6">
        <v>178</v>
      </c>
      <c r="C27" s="2" t="s">
        <v>179</v>
      </c>
      <c r="D27" s="1" t="s">
        <v>180</v>
      </c>
      <c r="E27" s="1" t="s">
        <v>181</v>
      </c>
      <c r="F27" s="1" t="s">
        <v>234</v>
      </c>
      <c r="G27" s="1" t="s">
        <v>235</v>
      </c>
      <c r="H27" t="str">
        <f>IFERROR(VLOOKUP(Table5[[#This Row],[current WEkEO dataset]],WEkEO[],2,FALSE),"-")&amp;" / "&amp;IFERROR(VLOOKUP(Table5[[#This Row],[current WEkEO dataset]],WEkEO[],3,FALSE),"-")</f>
        <v>- / -</v>
      </c>
      <c r="I27" s="1" t="s">
        <v>236</v>
      </c>
      <c r="J27" s="1" t="s">
        <v>237</v>
      </c>
      <c r="K27" s="1" t="str" cm="1">
        <f t="array" ref="K27">INDEX(_xlfn.TEXTSPLIT(TRIM(Table5[[#This Row],[datasetIdentifier]]), "_"), COLUMNS(_xlfn.TEXTSPLIT(TRIM(Table5[[#This Row],[datasetIdentifier]]), "_")) - 2)</f>
        <v>300m</v>
      </c>
    </row>
    <row r="28" spans="1:11" ht="29.25">
      <c r="A28" s="2">
        <f t="shared" si="0"/>
        <v>27</v>
      </c>
      <c r="B28" s="6">
        <v>178</v>
      </c>
      <c r="C28" s="2" t="s">
        <v>179</v>
      </c>
      <c r="D28" s="1" t="s">
        <v>180</v>
      </c>
      <c r="E28" s="1" t="s">
        <v>181</v>
      </c>
      <c r="F28" s="1" t="s">
        <v>234</v>
      </c>
      <c r="G28" s="1" t="s">
        <v>238</v>
      </c>
      <c r="H28" t="str">
        <f>IFERROR(VLOOKUP(Table5[[#This Row],[current WEkEO dataset]],WEkEO[],2,FALSE),"-")&amp;" / "&amp;IFERROR(VLOOKUP(Table5[[#This Row],[current WEkEO dataset]],WEkEO[],3,FALSE),"-")</f>
        <v>- / -</v>
      </c>
      <c r="I28" s="1" t="s">
        <v>236</v>
      </c>
      <c r="J28" s="23" t="s">
        <v>199</v>
      </c>
      <c r="K28" s="1" t="str" cm="1">
        <f t="array" ref="K28">INDEX(_xlfn.TEXTSPLIT(TRIM(Table5[[#This Row],[datasetIdentifier]]), "_"), COLUMNS(_xlfn.TEXTSPLIT(TRIM(Table5[[#This Row],[datasetIdentifier]]), "_")) - 2)</f>
        <v>300m</v>
      </c>
    </row>
    <row r="29" spans="1:11">
      <c r="A29" s="2">
        <f t="shared" si="0"/>
        <v>28</v>
      </c>
      <c r="B29" s="6">
        <v>178</v>
      </c>
      <c r="C29" s="2" t="s">
        <v>179</v>
      </c>
      <c r="D29" s="1" t="s">
        <v>180</v>
      </c>
      <c r="E29" s="1" t="s">
        <v>181</v>
      </c>
      <c r="F29" s="1" t="s">
        <v>234</v>
      </c>
      <c r="G29" s="1" t="s">
        <v>239</v>
      </c>
      <c r="H29" t="str">
        <f>IFERROR(VLOOKUP(Table5[[#This Row],[current WEkEO dataset]],WEkEO[],2,FALSE),"-")&amp;" / "&amp;IFERROR(VLOOKUP(Table5[[#This Row],[current WEkEO dataset]],WEkEO[],3,FALSE),"-")</f>
        <v>- / -</v>
      </c>
      <c r="I29" s="1" t="s">
        <v>236</v>
      </c>
      <c r="J29" s="1" t="s">
        <v>237</v>
      </c>
      <c r="K29" s="1" t="str" cm="1">
        <f t="array" ref="K29">INDEX(_xlfn.TEXTSPLIT(TRIM(Table5[[#This Row],[datasetIdentifier]]), "_"), COLUMNS(_xlfn.TEXTSPLIT(TRIM(Table5[[#This Row],[datasetIdentifier]]), "_")) - 2)</f>
        <v>300m</v>
      </c>
    </row>
    <row r="30" spans="1:11" ht="29.25">
      <c r="A30" s="2">
        <f t="shared" si="0"/>
        <v>29</v>
      </c>
      <c r="B30" s="6">
        <v>178</v>
      </c>
      <c r="C30" s="2" t="s">
        <v>179</v>
      </c>
      <c r="D30" s="1" t="s">
        <v>180</v>
      </c>
      <c r="E30" s="1" t="s">
        <v>181</v>
      </c>
      <c r="F30" s="1" t="s">
        <v>234</v>
      </c>
      <c r="G30" s="1" t="s">
        <v>240</v>
      </c>
      <c r="H30" t="str">
        <f>IFERROR(VLOOKUP(Table5[[#This Row],[current WEkEO dataset]],WEkEO[],2,FALSE),"-")&amp;" / "&amp;IFERROR(VLOOKUP(Table5[[#This Row],[current WEkEO dataset]],WEkEO[],3,FALSE),"-")</f>
        <v>- / -</v>
      </c>
      <c r="I30" s="1" t="s">
        <v>236</v>
      </c>
      <c r="J30" s="23" t="s">
        <v>199</v>
      </c>
      <c r="K30" s="1" t="str" cm="1">
        <f t="array" ref="K30">INDEX(_xlfn.TEXTSPLIT(TRIM(Table5[[#This Row],[datasetIdentifier]]), "_"), COLUMNS(_xlfn.TEXTSPLIT(TRIM(Table5[[#This Row],[datasetIdentifier]]), "_")) - 2)</f>
        <v>300m</v>
      </c>
    </row>
    <row r="31" spans="1:11">
      <c r="A31" s="2">
        <f t="shared" si="0"/>
        <v>30</v>
      </c>
      <c r="B31" s="6">
        <v>178</v>
      </c>
      <c r="C31" s="2" t="s">
        <v>179</v>
      </c>
      <c r="D31" s="1" t="s">
        <v>180</v>
      </c>
      <c r="E31" s="1" t="s">
        <v>181</v>
      </c>
      <c r="F31" s="1" t="s">
        <v>241</v>
      </c>
      <c r="G31" s="1" t="s">
        <v>242</v>
      </c>
      <c r="H31" t="str">
        <f>IFERROR(VLOOKUP(Table5[[#This Row],[current WEkEO dataset]],WEkEO[],2,FALSE),"-")&amp;" / "&amp;IFERROR(VLOOKUP(Table5[[#This Row],[current WEkEO dataset]],WEkEO[],3,FALSE),"-")</f>
        <v>- / -</v>
      </c>
      <c r="I31" s="1" t="s">
        <v>243</v>
      </c>
      <c r="J31" s="1" t="s">
        <v>244</v>
      </c>
      <c r="K31" s="1" t="str" cm="1">
        <f t="array" ref="K31">INDEX(_xlfn.TEXTSPLIT(TRIM(Table5[[#This Row],[datasetIdentifier]]), "_"), COLUMNS(_xlfn.TEXTSPLIT(TRIM(Table5[[#This Row],[datasetIdentifier]]), "_")) - 2)</f>
        <v>250m</v>
      </c>
    </row>
    <row r="32" spans="1:11">
      <c r="A32" s="2">
        <f t="shared" si="0"/>
        <v>31</v>
      </c>
      <c r="B32" s="6">
        <v>178</v>
      </c>
      <c r="C32" s="2" t="s">
        <v>179</v>
      </c>
      <c r="D32" s="1" t="s">
        <v>180</v>
      </c>
      <c r="E32" s="1" t="s">
        <v>181</v>
      </c>
      <c r="F32" s="1" t="s">
        <v>241</v>
      </c>
      <c r="G32" s="1" t="s">
        <v>245</v>
      </c>
      <c r="H32" t="str">
        <f>IFERROR(VLOOKUP(Table5[[#This Row],[current WEkEO dataset]],WEkEO[],2,FALSE),"-")&amp;" / "&amp;IFERROR(VLOOKUP(Table5[[#This Row],[current WEkEO dataset]],WEkEO[],3,FALSE),"-")</f>
        <v>- / -</v>
      </c>
      <c r="I32" s="1" t="s">
        <v>243</v>
      </c>
      <c r="J32" s="24" t="s">
        <v>187</v>
      </c>
      <c r="K32" s="1" t="str" cm="1">
        <f t="array" ref="K32">INDEX(_xlfn.TEXTSPLIT(TRIM(Table5[[#This Row],[datasetIdentifier]]), "_"), COLUMNS(_xlfn.TEXTSPLIT(TRIM(Table5[[#This Row],[datasetIdentifier]]), "_")) - 2)</f>
        <v>250m</v>
      </c>
    </row>
    <row r="33" spans="1:11">
      <c r="A33" s="2">
        <f t="shared" si="0"/>
        <v>32</v>
      </c>
      <c r="B33" s="6">
        <v>178</v>
      </c>
      <c r="C33" s="2" t="s">
        <v>179</v>
      </c>
      <c r="D33" s="1" t="s">
        <v>180</v>
      </c>
      <c r="E33" s="1" t="s">
        <v>181</v>
      </c>
      <c r="F33" s="1" t="s">
        <v>241</v>
      </c>
      <c r="G33" s="1" t="s">
        <v>246</v>
      </c>
      <c r="H33" t="str">
        <f>IFERROR(VLOOKUP(Table5[[#This Row],[current WEkEO dataset]],WEkEO[],2,FALSE),"-")&amp;" / "&amp;IFERROR(VLOOKUP(Table5[[#This Row],[current WEkEO dataset]],WEkEO[],3,FALSE),"-")</f>
        <v>- / -</v>
      </c>
      <c r="I33" s="1" t="s">
        <v>243</v>
      </c>
      <c r="J33" s="24" t="s">
        <v>206</v>
      </c>
      <c r="K33" s="1" t="str" cm="1">
        <f t="array" ref="K33">INDEX(_xlfn.TEXTSPLIT(TRIM(Table5[[#This Row],[datasetIdentifier]]), "_"), COLUMNS(_xlfn.TEXTSPLIT(TRIM(Table5[[#This Row],[datasetIdentifier]]), "_")) - 2)</f>
        <v>500m</v>
      </c>
    </row>
    <row r="34" spans="1:11">
      <c r="A34" s="2">
        <f t="shared" si="0"/>
        <v>33</v>
      </c>
      <c r="B34" s="6">
        <v>178</v>
      </c>
      <c r="C34" s="2" t="s">
        <v>179</v>
      </c>
      <c r="D34" s="1" t="s">
        <v>180</v>
      </c>
      <c r="E34" s="1" t="s">
        <v>181</v>
      </c>
      <c r="F34" s="1" t="s">
        <v>241</v>
      </c>
      <c r="G34" s="1" t="s">
        <v>247</v>
      </c>
      <c r="H34" t="str">
        <f>IFERROR(VLOOKUP(Table5[[#This Row],[current WEkEO dataset]],WEkEO[],2,FALSE),"-")&amp;" / "&amp;IFERROR(VLOOKUP(Table5[[#This Row],[current WEkEO dataset]],WEkEO[],3,FALSE),"-")</f>
        <v>- / -</v>
      </c>
      <c r="I34" s="1" t="s">
        <v>243</v>
      </c>
      <c r="J34" s="24" t="s">
        <v>228</v>
      </c>
      <c r="K34" s="1" t="str" cm="1">
        <f t="array" ref="K34">INDEX(_xlfn.TEXTSPLIT(TRIM(Table5[[#This Row],[datasetIdentifier]]), "_"), COLUMNS(_xlfn.TEXTSPLIT(TRIM(Table5[[#This Row],[datasetIdentifier]]), "_")) - 2)</f>
        <v>500m</v>
      </c>
    </row>
    <row r="35" spans="1:11">
      <c r="A35" s="2">
        <f t="shared" si="0"/>
        <v>34</v>
      </c>
      <c r="B35" s="6">
        <v>178</v>
      </c>
      <c r="C35" s="2" t="s">
        <v>179</v>
      </c>
      <c r="D35" s="1" t="s">
        <v>180</v>
      </c>
      <c r="E35" s="1" t="s">
        <v>181</v>
      </c>
      <c r="F35" s="1" t="s">
        <v>248</v>
      </c>
      <c r="G35" s="1" t="s">
        <v>249</v>
      </c>
      <c r="H35" t="str">
        <f>IFERROR(VLOOKUP(Table5[[#This Row],[current WEkEO dataset]],WEkEO[],2,FALSE),"-")&amp;" / "&amp;IFERROR(VLOOKUP(Table5[[#This Row],[current WEkEO dataset]],WEkEO[],3,FALSE),"-")</f>
        <v>- / -</v>
      </c>
      <c r="I35" s="1" t="s">
        <v>243</v>
      </c>
      <c r="J35" s="24" t="s">
        <v>237</v>
      </c>
      <c r="K35" s="1" t="str" cm="1">
        <f t="array" ref="K35">INDEX(_xlfn.TEXTSPLIT(TRIM(Table5[[#This Row],[datasetIdentifier]]), "_"), COLUMNS(_xlfn.TEXTSPLIT(TRIM(Table5[[#This Row],[datasetIdentifier]]), "_")) - 2)</f>
        <v>vector</v>
      </c>
    </row>
    <row r="36" spans="1:11">
      <c r="A36" s="2">
        <f t="shared" si="0"/>
        <v>35</v>
      </c>
      <c r="B36" s="6">
        <v>178</v>
      </c>
      <c r="C36" s="2" t="s">
        <v>179</v>
      </c>
      <c r="D36" s="1" t="s">
        <v>180</v>
      </c>
      <c r="E36" s="1" t="s">
        <v>181</v>
      </c>
      <c r="F36" s="1" t="s">
        <v>248</v>
      </c>
      <c r="G36" s="1" t="s">
        <v>250</v>
      </c>
      <c r="H36" t="str">
        <f>IFERROR(VLOOKUP(Table5[[#This Row],[current WEkEO dataset]],WEkEO[],2,FALSE),"-")&amp;" / "&amp;IFERROR(VLOOKUP(Table5[[#This Row],[current WEkEO dataset]],WEkEO[],3,FALSE),"-")</f>
        <v>- / -</v>
      </c>
      <c r="I36" s="1" t="s">
        <v>243</v>
      </c>
      <c r="J36" s="23" t="s">
        <v>251</v>
      </c>
      <c r="K36" s="1" t="str" cm="1">
        <f t="array" ref="K36">INDEX(_xlfn.TEXTSPLIT(TRIM(Table5[[#This Row],[datasetIdentifier]]), "_"), COLUMNS(_xlfn.TEXTSPLIT(TRIM(Table5[[#This Row],[datasetIdentifier]]), "_")) - 2)</f>
        <v>vector</v>
      </c>
    </row>
    <row r="37" spans="1:11">
      <c r="A37" s="2">
        <f t="shared" si="0"/>
        <v>36</v>
      </c>
      <c r="B37" s="6">
        <v>178</v>
      </c>
      <c r="C37" s="2" t="s">
        <v>179</v>
      </c>
      <c r="D37" s="1" t="s">
        <v>180</v>
      </c>
      <c r="E37" s="1" t="s">
        <v>181</v>
      </c>
      <c r="F37" s="1" t="s">
        <v>252</v>
      </c>
      <c r="G37" s="1" t="s">
        <v>253</v>
      </c>
      <c r="H37" t="str">
        <f>IFERROR(VLOOKUP(Table5[[#This Row],[current WEkEO dataset]],WEkEO[],2,FALSE),"-")&amp;" / "&amp;IFERROR(VLOOKUP(Table5[[#This Row],[current WEkEO dataset]],WEkEO[],3,FALSE),"-")</f>
        <v>- / -</v>
      </c>
      <c r="I37" s="1" t="s">
        <v>254</v>
      </c>
      <c r="J37" s="1" t="s">
        <v>255</v>
      </c>
      <c r="K37" s="1" t="str" cm="1">
        <f t="array" ref="K37">INDEX(_xlfn.TEXTSPLIT(TRIM(Table5[[#This Row],[datasetIdentifier]]), "_"), COLUMNS(_xlfn.TEXTSPLIT(TRIM(Table5[[#This Row],[datasetIdentifier]]), "_")) - 2)</f>
        <v>500m</v>
      </c>
    </row>
    <row r="38" spans="1:11">
      <c r="A38" s="2">
        <f t="shared" si="0"/>
        <v>37</v>
      </c>
      <c r="B38" s="6">
        <v>178</v>
      </c>
      <c r="C38" s="2" t="s">
        <v>179</v>
      </c>
      <c r="D38" s="1" t="s">
        <v>180</v>
      </c>
      <c r="E38" s="1" t="s">
        <v>181</v>
      </c>
      <c r="F38" s="1" t="s">
        <v>252</v>
      </c>
      <c r="G38" s="1" t="s">
        <v>256</v>
      </c>
      <c r="H38" t="str">
        <f>IFERROR(VLOOKUP(Table5[[#This Row],[current WEkEO dataset]],WEkEO[],2,FALSE),"-")&amp;" / "&amp;IFERROR(VLOOKUP(Table5[[#This Row],[current WEkEO dataset]],WEkEO[],3,FALSE),"-")</f>
        <v>- / -</v>
      </c>
      <c r="I38" s="1" t="s">
        <v>254</v>
      </c>
      <c r="J38" s="24" t="s">
        <v>206</v>
      </c>
      <c r="K38" s="1" t="str" cm="1">
        <f t="array" ref="K38">INDEX(_xlfn.TEXTSPLIT(TRIM(Table5[[#This Row],[datasetIdentifier]]), "_"), COLUMNS(_xlfn.TEXTSPLIT(TRIM(Table5[[#This Row],[datasetIdentifier]]), "_")) - 2)</f>
        <v>1km</v>
      </c>
    </row>
    <row r="39" spans="1:11">
      <c r="A39" s="2">
        <f t="shared" si="0"/>
        <v>38</v>
      </c>
      <c r="B39" s="6">
        <v>178</v>
      </c>
      <c r="C39" s="2" t="s">
        <v>179</v>
      </c>
      <c r="D39" s="1" t="s">
        <v>180</v>
      </c>
      <c r="E39" s="1" t="s">
        <v>181</v>
      </c>
      <c r="F39" s="1" t="s">
        <v>252</v>
      </c>
      <c r="G39" s="1" t="s">
        <v>257</v>
      </c>
      <c r="H39" t="str">
        <f>IFERROR(VLOOKUP(Table5[[#This Row],[current WEkEO dataset]],WEkEO[],2,FALSE),"-")&amp;" / "&amp;IFERROR(VLOOKUP(Table5[[#This Row],[current WEkEO dataset]],WEkEO[],3,FALSE),"-")</f>
        <v>- / -</v>
      </c>
      <c r="I39" s="1" t="s">
        <v>254</v>
      </c>
      <c r="J39" s="1" t="s">
        <v>258</v>
      </c>
      <c r="K39" s="1" t="str" cm="1">
        <f t="array" ref="K39">INDEX(_xlfn.TEXTSPLIT(TRIM(Table5[[#This Row],[datasetIdentifier]]), "_"), COLUMNS(_xlfn.TEXTSPLIT(TRIM(Table5[[#This Row],[datasetIdentifier]]), "_")) - 2)</f>
        <v>1km</v>
      </c>
    </row>
    <row r="40" spans="1:11" ht="43.5">
      <c r="A40" s="2">
        <f t="shared" si="0"/>
        <v>39</v>
      </c>
      <c r="B40" s="6">
        <v>178</v>
      </c>
      <c r="C40" s="2" t="s">
        <v>179</v>
      </c>
      <c r="D40" s="1" t="s">
        <v>180</v>
      </c>
      <c r="E40" s="1" t="s">
        <v>181</v>
      </c>
      <c r="F40" s="1" t="s">
        <v>259</v>
      </c>
      <c r="G40" s="1" t="s">
        <v>260</v>
      </c>
      <c r="H40" t="str">
        <f>IFERROR(VLOOKUP(Table5[[#This Row],[current WEkEO dataset]],WEkEO[],2,FALSE),"-")&amp;" / "&amp;IFERROR(VLOOKUP(Table5[[#This Row],[current WEkEO dataset]],WEkEO[],3,FALSE),"-")</f>
        <v>- / -</v>
      </c>
      <c r="I40" s="1" t="s">
        <v>261</v>
      </c>
      <c r="J40" s="23" t="s">
        <v>262</v>
      </c>
      <c r="K40" s="1" t="str" cm="1">
        <f t="array" ref="K40">INDEX(_xlfn.TEXTSPLIT(TRIM(Table5[[#This Row],[datasetIdentifier]]), "_"), COLUMNS(_xlfn.TEXTSPLIT(TRIM(Table5[[#This Row],[datasetIdentifier]]), "_")) - 2)</f>
        <v>5km</v>
      </c>
    </row>
    <row r="41" spans="1:11">
      <c r="A41" s="2">
        <f t="shared" si="0"/>
        <v>40</v>
      </c>
      <c r="B41" s="6">
        <v>178</v>
      </c>
      <c r="C41" s="2" t="s">
        <v>179</v>
      </c>
      <c r="D41" s="1" t="s">
        <v>180</v>
      </c>
      <c r="E41" s="1" t="s">
        <v>181</v>
      </c>
      <c r="F41" s="1" t="s">
        <v>259</v>
      </c>
      <c r="G41" s="1" t="s">
        <v>263</v>
      </c>
      <c r="H41" t="str">
        <f>IFERROR(VLOOKUP(Table5[[#This Row],[current WEkEO dataset]],WEkEO[],2,FALSE),"-")&amp;" / "&amp;IFERROR(VLOOKUP(Table5[[#This Row],[current WEkEO dataset]],WEkEO[],3,FALSE),"-")</f>
        <v>- / -</v>
      </c>
      <c r="I41" s="1" t="s">
        <v>261</v>
      </c>
      <c r="J41" s="24" t="s">
        <v>187</v>
      </c>
      <c r="K41" s="1" t="str" cm="1">
        <f t="array" ref="K41">INDEX(_xlfn.TEXTSPLIT(TRIM(Table5[[#This Row],[datasetIdentifier]]), "_"), COLUMNS(_xlfn.TEXTSPLIT(TRIM(Table5[[#This Row],[datasetIdentifier]]), "_")) - 2)</f>
        <v>5km</v>
      </c>
    </row>
    <row r="42" spans="1:11" ht="29.25">
      <c r="A42" s="2">
        <f t="shared" si="0"/>
        <v>41</v>
      </c>
      <c r="B42" s="6">
        <v>178</v>
      </c>
      <c r="C42" s="2" t="s">
        <v>179</v>
      </c>
      <c r="D42" s="1" t="s">
        <v>180</v>
      </c>
      <c r="E42" s="1" t="s">
        <v>181</v>
      </c>
      <c r="F42" s="1" t="s">
        <v>264</v>
      </c>
      <c r="G42" s="1" t="s">
        <v>265</v>
      </c>
      <c r="H42" t="str">
        <f>IFERROR(VLOOKUP(Table5[[#This Row],[current WEkEO dataset]],WEkEO[],2,FALSE),"-")&amp;" / "&amp;IFERROR(VLOOKUP(Table5[[#This Row],[current WEkEO dataset]],WEkEO[],3,FALSE),"-")</f>
        <v>- / -</v>
      </c>
      <c r="I42" s="1" t="s">
        <v>266</v>
      </c>
      <c r="J42" s="22" t="s">
        <v>267</v>
      </c>
      <c r="K42" s="1" t="str" cm="1">
        <f t="array" ref="K42">INDEX(_xlfn.TEXTSPLIT(TRIM(Table5[[#This Row],[datasetIdentifier]]), "_"), COLUMNS(_xlfn.TEXTSPLIT(TRIM(Table5[[#This Row],[datasetIdentifier]]), "_")) - 2)</f>
        <v>12.5km</v>
      </c>
    </row>
    <row r="43" spans="1:11">
      <c r="A43" s="2">
        <f t="shared" si="0"/>
        <v>42</v>
      </c>
      <c r="B43" s="6">
        <v>178</v>
      </c>
      <c r="C43" s="2" t="s">
        <v>179</v>
      </c>
      <c r="D43" s="1" t="s">
        <v>180</v>
      </c>
      <c r="E43" s="1" t="s">
        <v>181</v>
      </c>
      <c r="F43" s="1" t="s">
        <v>264</v>
      </c>
      <c r="G43" s="1" t="s">
        <v>268</v>
      </c>
      <c r="H43" t="str">
        <f>IFERROR(VLOOKUP(Table5[[#This Row],[current WEkEO dataset]],WEkEO[],2,FALSE),"-")&amp;" / "&amp;IFERROR(VLOOKUP(Table5[[#This Row],[current WEkEO dataset]],WEkEO[],3,FALSE),"-")</f>
        <v>- / -</v>
      </c>
      <c r="I43" s="1" t="s">
        <v>266</v>
      </c>
      <c r="J43" s="8">
        <v>2024</v>
      </c>
      <c r="K43" s="1" t="str" cm="1">
        <f t="array" ref="K43">INDEX(_xlfn.TEXTSPLIT(TRIM(Table5[[#This Row],[datasetIdentifier]]), "_"), COLUMNS(_xlfn.TEXTSPLIT(TRIM(Table5[[#This Row],[datasetIdentifier]]), "_")) - 2)</f>
        <v>12.5km</v>
      </c>
    </row>
    <row r="44" spans="1:11" ht="29.25">
      <c r="A44" s="2">
        <f t="shared" si="0"/>
        <v>43</v>
      </c>
      <c r="B44" s="6">
        <v>178</v>
      </c>
      <c r="C44" s="2" t="s">
        <v>179</v>
      </c>
      <c r="D44" s="1" t="s">
        <v>180</v>
      </c>
      <c r="E44" s="1" t="s">
        <v>181</v>
      </c>
      <c r="F44" s="1" t="s">
        <v>264</v>
      </c>
      <c r="G44" s="1" t="s">
        <v>269</v>
      </c>
      <c r="H44" t="str">
        <f>IFERROR(VLOOKUP(Table5[[#This Row],[current WEkEO dataset]],WEkEO[],2,FALSE),"-")&amp;" / "&amp;IFERROR(VLOOKUP(Table5[[#This Row],[current WEkEO dataset]],WEkEO[],3,FALSE),"-")</f>
        <v>- / -</v>
      </c>
      <c r="I44" s="1" t="s">
        <v>266</v>
      </c>
      <c r="J44" s="22" t="s">
        <v>270</v>
      </c>
      <c r="K44" s="1" t="str" cm="1">
        <f t="array" ref="K44">INDEX(_xlfn.TEXTSPLIT(TRIM(Table5[[#This Row],[datasetIdentifier]]), "_"), COLUMNS(_xlfn.TEXTSPLIT(TRIM(Table5[[#This Row],[datasetIdentifier]]), "_")) - 2)</f>
        <v>1km</v>
      </c>
    </row>
    <row r="45" spans="1:11">
      <c r="A45" s="2">
        <f t="shared" si="0"/>
        <v>44</v>
      </c>
      <c r="B45" s="6">
        <v>178</v>
      </c>
      <c r="C45" s="2" t="s">
        <v>179</v>
      </c>
      <c r="D45" s="1" t="s">
        <v>180</v>
      </c>
      <c r="E45" s="1" t="s">
        <v>181</v>
      </c>
      <c r="F45" s="1" t="s">
        <v>264</v>
      </c>
      <c r="G45" s="1" t="s">
        <v>271</v>
      </c>
      <c r="H45" t="str">
        <f>IFERROR(VLOOKUP(Table5[[#This Row],[current WEkEO dataset]],WEkEO[],2,FALSE),"-")&amp;" / "&amp;IFERROR(VLOOKUP(Table5[[#This Row],[current WEkEO dataset]],WEkEO[],3,FALSE),"-")</f>
        <v>- / -</v>
      </c>
      <c r="I45" s="1" t="s">
        <v>266</v>
      </c>
      <c r="J45" s="1" t="s">
        <v>206</v>
      </c>
      <c r="K45" s="1" t="str" cm="1">
        <f t="array" ref="K45">INDEX(_xlfn.TEXTSPLIT(TRIM(Table5[[#This Row],[datasetIdentifier]]), "_"), COLUMNS(_xlfn.TEXTSPLIT(TRIM(Table5[[#This Row],[datasetIdentifier]]), "_")) - 2)</f>
        <v>1km</v>
      </c>
    </row>
    <row r="46" spans="1:11" ht="43.5">
      <c r="A46" s="2">
        <f t="shared" si="0"/>
        <v>45</v>
      </c>
      <c r="B46" s="6">
        <v>178</v>
      </c>
      <c r="C46" s="2" t="s">
        <v>179</v>
      </c>
      <c r="D46" s="1" t="s">
        <v>180</v>
      </c>
      <c r="E46" s="1" t="s">
        <v>181</v>
      </c>
      <c r="F46" s="1" t="s">
        <v>264</v>
      </c>
      <c r="G46" s="1" t="s">
        <v>272</v>
      </c>
      <c r="H46" t="str">
        <f>IFERROR(VLOOKUP(Table5[[#This Row],[current WEkEO dataset]],WEkEO[],2,FALSE),"-")&amp;" / "&amp;IFERROR(VLOOKUP(Table5[[#This Row],[current WEkEO dataset]],WEkEO[],3,FALSE),"-")</f>
        <v>- / -</v>
      </c>
      <c r="I46" s="1" t="s">
        <v>266</v>
      </c>
      <c r="J46" s="22" t="s">
        <v>273</v>
      </c>
      <c r="K46" s="1" t="str" cm="1">
        <f t="array" ref="K46">INDEX(_xlfn.TEXTSPLIT(TRIM(Table5[[#This Row],[datasetIdentifier]]), "_"), COLUMNS(_xlfn.TEXTSPLIT(TRIM(Table5[[#This Row],[datasetIdentifier]]), "_")) - 2)</f>
        <v>12.5km</v>
      </c>
    </row>
    <row r="47" spans="1:11" ht="43.5">
      <c r="A47" s="2">
        <f t="shared" si="0"/>
        <v>46</v>
      </c>
      <c r="B47" s="6">
        <v>178</v>
      </c>
      <c r="C47" s="2" t="s">
        <v>179</v>
      </c>
      <c r="D47" s="1" t="s">
        <v>180</v>
      </c>
      <c r="E47" s="1" t="s">
        <v>181</v>
      </c>
      <c r="F47" s="1" t="s">
        <v>264</v>
      </c>
      <c r="G47" s="1" t="s">
        <v>274</v>
      </c>
      <c r="H47" t="str">
        <f>IFERROR(VLOOKUP(Table5[[#This Row],[current WEkEO dataset]],WEkEO[],2,FALSE),"-")&amp;" / "&amp;IFERROR(VLOOKUP(Table5[[#This Row],[current WEkEO dataset]],WEkEO[],3,FALSE),"-")</f>
        <v>- / -</v>
      </c>
      <c r="I47" s="1" t="s">
        <v>266</v>
      </c>
      <c r="J47" s="22" t="s">
        <v>275</v>
      </c>
      <c r="K47" s="1" t="str" cm="1">
        <f t="array" ref="K47">INDEX(_xlfn.TEXTSPLIT(TRIM(Table5[[#This Row],[datasetIdentifier]]), "_"), COLUMNS(_xlfn.TEXTSPLIT(TRIM(Table5[[#This Row],[datasetIdentifier]]), "_")) - 2)</f>
        <v>12.5km</v>
      </c>
    </row>
    <row r="48" spans="1:11" ht="43.5">
      <c r="A48" s="2">
        <f t="shared" si="0"/>
        <v>47</v>
      </c>
      <c r="B48" s="6">
        <v>178</v>
      </c>
      <c r="C48" s="2" t="s">
        <v>179</v>
      </c>
      <c r="D48" s="1" t="s">
        <v>180</v>
      </c>
      <c r="E48" s="1" t="s">
        <v>181</v>
      </c>
      <c r="F48" s="1" t="s">
        <v>264</v>
      </c>
      <c r="G48" s="1" t="s">
        <v>276</v>
      </c>
      <c r="H48" t="str">
        <f>IFERROR(VLOOKUP(Table5[[#This Row],[current WEkEO dataset]],WEkEO[],2,FALSE),"-")&amp;" / "&amp;IFERROR(VLOOKUP(Table5[[#This Row],[current WEkEO dataset]],WEkEO[],3,FALSE),"-")</f>
        <v>- / -</v>
      </c>
      <c r="I48" s="1" t="s">
        <v>266</v>
      </c>
      <c r="J48" s="22" t="s">
        <v>273</v>
      </c>
      <c r="K48" s="1" t="str" cm="1">
        <f t="array" ref="K48">INDEX(_xlfn.TEXTSPLIT(TRIM(Table5[[#This Row],[datasetIdentifier]]), "_"), COLUMNS(_xlfn.TEXTSPLIT(TRIM(Table5[[#This Row],[datasetIdentifier]]), "_")) - 2)</f>
        <v>12.5km</v>
      </c>
    </row>
    <row r="49" spans="1:11" ht="43.5">
      <c r="A49" s="2">
        <f t="shared" si="0"/>
        <v>48</v>
      </c>
      <c r="B49" s="6">
        <v>178</v>
      </c>
      <c r="C49" s="2" t="s">
        <v>179</v>
      </c>
      <c r="D49" s="1" t="s">
        <v>180</v>
      </c>
      <c r="E49" s="1" t="s">
        <v>181</v>
      </c>
      <c r="F49" s="1" t="s">
        <v>264</v>
      </c>
      <c r="G49" s="1" t="s">
        <v>277</v>
      </c>
      <c r="H49" t="str">
        <f>IFERROR(VLOOKUP(Table5[[#This Row],[current WEkEO dataset]],WEkEO[],2,FALSE),"-")&amp;" / "&amp;IFERROR(VLOOKUP(Table5[[#This Row],[current WEkEO dataset]],WEkEO[],3,FALSE),"-")</f>
        <v>- / -</v>
      </c>
      <c r="I49" s="1" t="s">
        <v>266</v>
      </c>
      <c r="J49" s="22" t="s">
        <v>275</v>
      </c>
      <c r="K49" s="1" t="str" cm="1">
        <f t="array" ref="K49">INDEX(_xlfn.TEXTSPLIT(TRIM(Table5[[#This Row],[datasetIdentifier]]), "_"), COLUMNS(_xlfn.TEXTSPLIT(TRIM(Table5[[#This Row],[datasetIdentifier]]), "_")) - 2)</f>
        <v>12.5km</v>
      </c>
    </row>
    <row r="50" spans="1:11" ht="29.25">
      <c r="A50" s="2">
        <f t="shared" si="0"/>
        <v>49</v>
      </c>
      <c r="B50" s="6">
        <v>178</v>
      </c>
      <c r="C50" s="2" t="s">
        <v>179</v>
      </c>
      <c r="D50" s="1" t="s">
        <v>180</v>
      </c>
      <c r="E50" s="1" t="s">
        <v>181</v>
      </c>
      <c r="F50" s="1" t="s">
        <v>278</v>
      </c>
      <c r="G50" s="1" t="s">
        <v>279</v>
      </c>
      <c r="H50" t="str">
        <f>IFERROR(VLOOKUP(Table5[[#This Row],[current WEkEO dataset]],WEkEO[],2,FALSE),"-")&amp;" / "&amp;IFERROR(VLOOKUP(Table5[[#This Row],[current WEkEO dataset]],WEkEO[],3,FALSE),"-")</f>
        <v>- / -</v>
      </c>
      <c r="I50" s="1" t="s">
        <v>280</v>
      </c>
      <c r="J50" s="22" t="s">
        <v>197</v>
      </c>
      <c r="K50" s="1" t="str" cm="1">
        <f t="array" ref="K50">INDEX(_xlfn.TEXTSPLIT(TRIM(Table5[[#This Row],[datasetIdentifier]]), "_"), COLUMNS(_xlfn.TEXTSPLIT(TRIM(Table5[[#This Row],[datasetIdentifier]]), "_")) - 2)</f>
        <v>1km</v>
      </c>
    </row>
    <row r="51" spans="1:11">
      <c r="A51" s="2">
        <f t="shared" si="0"/>
        <v>50</v>
      </c>
      <c r="B51" s="6">
        <v>178</v>
      </c>
      <c r="C51" s="2" t="s">
        <v>179</v>
      </c>
      <c r="D51" s="1" t="s">
        <v>180</v>
      </c>
      <c r="E51" s="1" t="s">
        <v>181</v>
      </c>
      <c r="F51" s="1" t="s">
        <v>281</v>
      </c>
      <c r="G51" s="1" t="s">
        <v>282</v>
      </c>
      <c r="H51" t="str">
        <f>IFERROR(VLOOKUP(Table5[[#This Row],[current WEkEO dataset]],WEkEO[],2,FALSE),"-")&amp;" / "&amp;IFERROR(VLOOKUP(Table5[[#This Row],[current WEkEO dataset]],WEkEO[],3,FALSE),"-")</f>
        <v>- / -</v>
      </c>
      <c r="I51" s="1" t="s">
        <v>283</v>
      </c>
      <c r="J51" s="24" t="s">
        <v>258</v>
      </c>
      <c r="K51" s="1" t="str" cm="1">
        <f t="array" ref="K51">INDEX(_xlfn.TEXTSPLIT(TRIM(Table5[[#This Row],[datasetIdentifier]]), "_"), COLUMNS(_xlfn.TEXTSPLIT(TRIM(Table5[[#This Row],[datasetIdentifier]]), "_")) - 2)</f>
        <v>300m</v>
      </c>
    </row>
    <row r="52" spans="1:11">
      <c r="A52" s="2">
        <f t="shared" si="0"/>
        <v>51</v>
      </c>
      <c r="B52" s="6">
        <v>178</v>
      </c>
      <c r="C52" s="2" t="s">
        <v>179</v>
      </c>
      <c r="D52" s="1" t="s">
        <v>180</v>
      </c>
      <c r="E52" s="1" t="s">
        <v>181</v>
      </c>
      <c r="F52" s="1" t="s">
        <v>284</v>
      </c>
      <c r="G52" s="1" t="s">
        <v>285</v>
      </c>
      <c r="H52" t="str">
        <f>IFERROR(VLOOKUP(Table5[[#This Row],[current WEkEO dataset]],WEkEO[],2,FALSE),"-")&amp;" / "&amp;IFERROR(VLOOKUP(Table5[[#This Row],[current WEkEO dataset]],WEkEO[],3,FALSE),"-")</f>
        <v>- / -</v>
      </c>
      <c r="I52" s="1" t="s">
        <v>286</v>
      </c>
      <c r="J52" s="8">
        <v>1999</v>
      </c>
      <c r="K52" s="1" t="str" cm="1">
        <f t="array" ref="K52">INDEX(_xlfn.TEXTSPLIT(TRIM(Table5[[#This Row],[datasetIdentifier]]), "_"), COLUMNS(_xlfn.TEXTSPLIT(TRIM(Table5[[#This Row],[datasetIdentifier]]), "_")) - 2)</f>
        <v>1km</v>
      </c>
    </row>
    <row r="53" spans="1:11">
      <c r="A53" s="2">
        <f t="shared" si="0"/>
        <v>52</v>
      </c>
      <c r="B53" s="6">
        <v>178</v>
      </c>
      <c r="C53" s="2" t="s">
        <v>179</v>
      </c>
      <c r="D53" s="1" t="s">
        <v>180</v>
      </c>
      <c r="E53" s="1" t="s">
        <v>181</v>
      </c>
      <c r="F53" s="1" t="s">
        <v>284</v>
      </c>
      <c r="G53" s="1" t="s">
        <v>287</v>
      </c>
      <c r="H53" t="str">
        <f>IFERROR(VLOOKUP(Table5[[#This Row],[current WEkEO dataset]],WEkEO[],2,FALSE),"-")&amp;" / "&amp;IFERROR(VLOOKUP(Table5[[#This Row],[current WEkEO dataset]],WEkEO[],3,FALSE),"-")</f>
        <v>- / -</v>
      </c>
      <c r="I53" s="1" t="s">
        <v>286</v>
      </c>
      <c r="J53" s="8">
        <v>1999</v>
      </c>
      <c r="K53" s="1" t="str" cm="1">
        <f t="array" ref="K53">INDEX(_xlfn.TEXTSPLIT(TRIM(Table5[[#This Row],[datasetIdentifier]]), "_"), COLUMNS(_xlfn.TEXTSPLIT(TRIM(Table5[[#This Row],[datasetIdentifier]]), "_")) - 2)</f>
        <v>1km</v>
      </c>
    </row>
    <row r="54" spans="1:11">
      <c r="A54" s="2">
        <f t="shared" si="0"/>
        <v>53</v>
      </c>
      <c r="B54" s="6">
        <v>178</v>
      </c>
      <c r="C54" s="2" t="s">
        <v>179</v>
      </c>
      <c r="D54" s="1" t="s">
        <v>180</v>
      </c>
      <c r="E54" s="1" t="s">
        <v>181</v>
      </c>
      <c r="F54" s="1" t="s">
        <v>284</v>
      </c>
      <c r="G54" s="1" t="s">
        <v>288</v>
      </c>
      <c r="H54" t="str">
        <f>IFERROR(VLOOKUP(Table5[[#This Row],[current WEkEO dataset]],WEkEO[],2,FALSE),"-")&amp;" / "&amp;IFERROR(VLOOKUP(Table5[[#This Row],[current WEkEO dataset]],WEkEO[],3,FALSE),"-")</f>
        <v>- / -</v>
      </c>
      <c r="I54" s="1" t="s">
        <v>286</v>
      </c>
      <c r="J54" s="8">
        <v>2015</v>
      </c>
      <c r="K54" s="1" t="str" cm="1">
        <f t="array" ref="K54">INDEX(_xlfn.TEXTSPLIT(TRIM(Table5[[#This Row],[datasetIdentifier]]), "_"), COLUMNS(_xlfn.TEXTSPLIT(TRIM(Table5[[#This Row],[datasetIdentifier]]), "_")) - 2)</f>
        <v>1km</v>
      </c>
    </row>
    <row r="55" spans="1:11" ht="43.5">
      <c r="A55" s="2">
        <f t="shared" si="0"/>
        <v>54</v>
      </c>
      <c r="B55" s="6">
        <v>178</v>
      </c>
      <c r="C55" s="2" t="s">
        <v>179</v>
      </c>
      <c r="D55" s="1" t="s">
        <v>180</v>
      </c>
      <c r="E55" s="1" t="s">
        <v>181</v>
      </c>
      <c r="F55" s="1" t="s">
        <v>284</v>
      </c>
      <c r="G55" s="1" t="s">
        <v>289</v>
      </c>
      <c r="H55" t="str">
        <f>IFERROR(VLOOKUP(Table5[[#This Row],[current WEkEO dataset]],WEkEO[],2,FALSE),"-")&amp;" / "&amp;IFERROR(VLOOKUP(Table5[[#This Row],[current WEkEO dataset]],WEkEO[],3,FALSE),"-")</f>
        <v>- / -</v>
      </c>
      <c r="I55" s="1" t="s">
        <v>286</v>
      </c>
      <c r="J55" s="23" t="s">
        <v>290</v>
      </c>
      <c r="K55" s="1" t="str" cm="1">
        <f t="array" ref="K55">INDEX(_xlfn.TEXTSPLIT(TRIM(Table5[[#This Row],[datasetIdentifier]]), "_"), COLUMNS(_xlfn.TEXTSPLIT(TRIM(Table5[[#This Row],[datasetIdentifier]]), "_")) - 2)</f>
        <v>1km</v>
      </c>
    </row>
    <row r="56" spans="1:11" ht="43.5">
      <c r="A56" s="2">
        <f t="shared" si="0"/>
        <v>55</v>
      </c>
      <c r="B56" s="6">
        <v>178</v>
      </c>
      <c r="C56" s="2" t="s">
        <v>179</v>
      </c>
      <c r="D56" s="1" t="s">
        <v>180</v>
      </c>
      <c r="E56" s="1" t="s">
        <v>181</v>
      </c>
      <c r="F56" s="1" t="s">
        <v>284</v>
      </c>
      <c r="G56" s="1" t="s">
        <v>291</v>
      </c>
      <c r="H56" t="str">
        <f>IFERROR(VLOOKUP(Table5[[#This Row],[current WEkEO dataset]],WEkEO[],2,FALSE),"-")&amp;" / "&amp;IFERROR(VLOOKUP(Table5[[#This Row],[current WEkEO dataset]],WEkEO[],3,FALSE),"-")</f>
        <v>- / -</v>
      </c>
      <c r="I56" s="1" t="s">
        <v>286</v>
      </c>
      <c r="J56" s="22" t="s">
        <v>195</v>
      </c>
      <c r="K56" s="1" t="str" cm="1">
        <f t="array" ref="K56">INDEX(_xlfn.TEXTSPLIT(TRIM(Table5[[#This Row],[datasetIdentifier]]), "_"), COLUMNS(_xlfn.TEXTSPLIT(TRIM(Table5[[#This Row],[datasetIdentifier]]), "_")) - 2)</f>
        <v>1km</v>
      </c>
    </row>
    <row r="57" spans="1:11">
      <c r="A57" s="2">
        <f t="shared" si="0"/>
        <v>56</v>
      </c>
      <c r="B57" s="6">
        <v>178</v>
      </c>
      <c r="C57" s="2" t="s">
        <v>179</v>
      </c>
      <c r="D57" s="1" t="s">
        <v>180</v>
      </c>
      <c r="E57" s="1" t="s">
        <v>181</v>
      </c>
      <c r="F57" s="1" t="s">
        <v>284</v>
      </c>
      <c r="G57" s="1" t="s">
        <v>292</v>
      </c>
      <c r="H57" t="str">
        <f>IFERROR(VLOOKUP(Table5[[#This Row],[current WEkEO dataset]],WEkEO[],2,FALSE),"-")&amp;" / "&amp;IFERROR(VLOOKUP(Table5[[#This Row],[current WEkEO dataset]],WEkEO[],3,FALSE),"-")</f>
        <v>- / -</v>
      </c>
      <c r="I57" s="1" t="s">
        <v>286</v>
      </c>
      <c r="J57" s="24" t="s">
        <v>293</v>
      </c>
      <c r="K57" s="1" t="str" cm="1">
        <f t="array" ref="K57">INDEX(_xlfn.TEXTSPLIT(TRIM(Table5[[#This Row],[datasetIdentifier]]), "_"), COLUMNS(_xlfn.TEXTSPLIT(TRIM(Table5[[#This Row],[datasetIdentifier]]), "_")) - 2)</f>
        <v>300m</v>
      </c>
    </row>
    <row r="58" spans="1:11">
      <c r="A58" s="2">
        <f t="shared" si="0"/>
        <v>57</v>
      </c>
      <c r="B58" s="6">
        <v>178</v>
      </c>
      <c r="C58" s="2" t="s">
        <v>179</v>
      </c>
      <c r="D58" s="1" t="s">
        <v>180</v>
      </c>
      <c r="E58" s="1" t="s">
        <v>181</v>
      </c>
      <c r="F58" s="1" t="s">
        <v>284</v>
      </c>
      <c r="G58" s="1" t="s">
        <v>294</v>
      </c>
      <c r="H58" t="str">
        <f>IFERROR(VLOOKUP(Table5[[#This Row],[current WEkEO dataset]],WEkEO[],2,FALSE),"-")&amp;" / "&amp;IFERROR(VLOOKUP(Table5[[#This Row],[current WEkEO dataset]],WEkEO[],3,FALSE),"-")</f>
        <v>- / -</v>
      </c>
      <c r="I58" s="1" t="s">
        <v>286</v>
      </c>
      <c r="J58" s="24" t="s">
        <v>295</v>
      </c>
      <c r="K58" s="1" t="str" cm="1">
        <f t="array" ref="K58">INDEX(_xlfn.TEXTSPLIT(TRIM(Table5[[#This Row],[datasetIdentifier]]), "_"), COLUMNS(_xlfn.TEXTSPLIT(TRIM(Table5[[#This Row],[datasetIdentifier]]), "_")) - 2)</f>
        <v>300m</v>
      </c>
    </row>
    <row r="59" spans="1:11" ht="29.25">
      <c r="A59" s="2">
        <f t="shared" si="0"/>
        <v>58</v>
      </c>
      <c r="B59" s="6">
        <v>178</v>
      </c>
      <c r="C59" s="2" t="s">
        <v>179</v>
      </c>
      <c r="D59" s="1" t="s">
        <v>180</v>
      </c>
      <c r="E59" s="1" t="s">
        <v>181</v>
      </c>
      <c r="F59" s="1" t="s">
        <v>284</v>
      </c>
      <c r="G59" s="1" t="s">
        <v>296</v>
      </c>
      <c r="H59" t="str">
        <f>IFERROR(VLOOKUP(Table5[[#This Row],[current WEkEO dataset]],WEkEO[],2,FALSE),"-")&amp;" / "&amp;IFERROR(VLOOKUP(Table5[[#This Row],[current WEkEO dataset]],WEkEO[],3,FALSE),"-")</f>
        <v>- / -</v>
      </c>
      <c r="I59" s="1" t="s">
        <v>286</v>
      </c>
      <c r="J59" s="22" t="s">
        <v>197</v>
      </c>
      <c r="K59" s="1" t="str" cm="1">
        <f t="array" ref="K59">INDEX(_xlfn.TEXTSPLIT(TRIM(Table5[[#This Row],[datasetIdentifier]]), "_"), COLUMNS(_xlfn.TEXTSPLIT(TRIM(Table5[[#This Row],[datasetIdentifier]]), "_")) - 2)</f>
        <v>300m</v>
      </c>
    </row>
    <row r="60" spans="1:11">
      <c r="A60" s="2">
        <f t="shared" si="0"/>
        <v>59</v>
      </c>
      <c r="B60" s="6">
        <v>178</v>
      </c>
      <c r="C60" s="2" t="s">
        <v>179</v>
      </c>
      <c r="D60" s="1" t="s">
        <v>180</v>
      </c>
      <c r="E60" s="1" t="s">
        <v>181</v>
      </c>
      <c r="F60" s="1" t="s">
        <v>297</v>
      </c>
      <c r="G60" s="1" t="s">
        <v>298</v>
      </c>
      <c r="H60" t="str">
        <f>IFERROR(VLOOKUP(Table5[[#This Row],[current WEkEO dataset]],WEkEO[],2,FALSE),"-")&amp;" / "&amp;IFERROR(VLOOKUP(Table5[[#This Row],[current WEkEO dataset]],WEkEO[],3,FALSE),"-")</f>
        <v>- / -</v>
      </c>
      <c r="I60" s="1" t="s">
        <v>299</v>
      </c>
      <c r="J60" s="1" t="s">
        <v>300</v>
      </c>
      <c r="K60" s="1" t="str" cm="1">
        <f t="array" ref="K60">INDEX(_xlfn.TEXTSPLIT(TRIM(Table5[[#This Row],[datasetIdentifier]]), "_"), COLUMNS(_xlfn.TEXTSPLIT(TRIM(Table5[[#This Row],[datasetIdentifier]]), "_")) - 2)</f>
        <v>300m</v>
      </c>
    </row>
    <row r="61" spans="1:11" ht="29.25">
      <c r="A61" s="2">
        <f t="shared" si="0"/>
        <v>60</v>
      </c>
      <c r="B61" s="6">
        <v>178</v>
      </c>
      <c r="C61" s="2" t="s">
        <v>179</v>
      </c>
      <c r="D61" s="1" t="s">
        <v>180</v>
      </c>
      <c r="E61" s="1" t="s">
        <v>181</v>
      </c>
      <c r="F61" s="1" t="s">
        <v>297</v>
      </c>
      <c r="G61" s="1" t="s">
        <v>301</v>
      </c>
      <c r="H61" t="str">
        <f>IFERROR(VLOOKUP(Table5[[#This Row],[current WEkEO dataset]],WEkEO[],2,FALSE),"-")&amp;" / "&amp;IFERROR(VLOOKUP(Table5[[#This Row],[current WEkEO dataset]],WEkEO[],3,FALSE),"-")</f>
        <v>- / -</v>
      </c>
      <c r="I61" s="1" t="s">
        <v>299</v>
      </c>
      <c r="J61" s="22" t="s">
        <v>302</v>
      </c>
      <c r="K61" s="1" t="str" cm="1">
        <f t="array" ref="K61">INDEX(_xlfn.TEXTSPLIT(TRIM(Table5[[#This Row],[datasetIdentifier]]), "_"), COLUMNS(_xlfn.TEXTSPLIT(TRIM(Table5[[#This Row],[datasetIdentifier]]), "_")) - 2)</f>
        <v>300m</v>
      </c>
    </row>
    <row r="62" spans="1:11" ht="43.5">
      <c r="A62" s="2">
        <f t="shared" si="0"/>
        <v>61</v>
      </c>
      <c r="B62" s="6">
        <v>178</v>
      </c>
      <c r="C62" s="2" t="s">
        <v>179</v>
      </c>
      <c r="D62" s="1" t="s">
        <v>180</v>
      </c>
      <c r="E62" s="1" t="s">
        <v>181</v>
      </c>
      <c r="F62" s="1" t="s">
        <v>303</v>
      </c>
      <c r="G62" s="1" t="s">
        <v>304</v>
      </c>
      <c r="H62" t="str">
        <f>IFERROR(VLOOKUP(Table5[[#This Row],[current WEkEO dataset]],WEkEO[],2,FALSE),"-")&amp;" / "&amp;IFERROR(VLOOKUP(Table5[[#This Row],[current WEkEO dataset]],WEkEO[],3,FALSE),"-")</f>
        <v>- / -</v>
      </c>
      <c r="I62" s="1" t="s">
        <v>305</v>
      </c>
      <c r="J62" s="22" t="s">
        <v>195</v>
      </c>
      <c r="K62" s="1" t="str" cm="1">
        <f t="array" ref="K62">INDEX(_xlfn.TEXTSPLIT(TRIM(Table5[[#This Row],[datasetIdentifier]]), "_"), COLUMNS(_xlfn.TEXTSPLIT(TRIM(Table5[[#This Row],[datasetIdentifier]]), "_")) - 2)</f>
        <v>1km</v>
      </c>
    </row>
    <row r="63" spans="1:11" ht="29.25">
      <c r="A63" s="2">
        <f t="shared" si="0"/>
        <v>62</v>
      </c>
      <c r="B63" s="6">
        <v>178</v>
      </c>
      <c r="C63" s="2" t="s">
        <v>179</v>
      </c>
      <c r="D63" s="1" t="s">
        <v>180</v>
      </c>
      <c r="E63" s="1" t="s">
        <v>181</v>
      </c>
      <c r="F63" s="1" t="s">
        <v>303</v>
      </c>
      <c r="G63" s="1" t="s">
        <v>306</v>
      </c>
      <c r="H63" t="str">
        <f>IFERROR(VLOOKUP(Table5[[#This Row],[current WEkEO dataset]],WEkEO[],2,FALSE),"-")&amp;" / "&amp;IFERROR(VLOOKUP(Table5[[#This Row],[current WEkEO dataset]],WEkEO[],3,FALSE),"-")</f>
        <v>- / -</v>
      </c>
      <c r="I63" s="1" t="s">
        <v>305</v>
      </c>
      <c r="J63" s="22" t="s">
        <v>197</v>
      </c>
      <c r="K63" s="1" t="str" cm="1">
        <f t="array" ref="K63">INDEX(_xlfn.TEXTSPLIT(TRIM(Table5[[#This Row],[datasetIdentifier]]), "_"), COLUMNS(_xlfn.TEXTSPLIT(TRIM(Table5[[#This Row],[datasetIdentifier]]), "_")) - 2)</f>
        <v>300m</v>
      </c>
    </row>
    <row r="64" spans="1:11" ht="29.25">
      <c r="A64" s="2">
        <f t="shared" si="0"/>
        <v>63</v>
      </c>
      <c r="B64" s="6">
        <v>178</v>
      </c>
      <c r="C64" s="2" t="s">
        <v>179</v>
      </c>
      <c r="D64" s="1" t="s">
        <v>180</v>
      </c>
      <c r="E64" s="1" t="s">
        <v>181</v>
      </c>
      <c r="F64" s="1" t="s">
        <v>303</v>
      </c>
      <c r="G64" s="1" t="s">
        <v>307</v>
      </c>
      <c r="H64" t="str">
        <f>IFERROR(VLOOKUP(Table5[[#This Row],[current WEkEO dataset]],WEkEO[],2,FALSE),"-")&amp;" / "&amp;IFERROR(VLOOKUP(Table5[[#This Row],[current WEkEO dataset]],WEkEO[],3,FALSE),"-")</f>
        <v>- / -</v>
      </c>
      <c r="I64" s="1" t="s">
        <v>305</v>
      </c>
      <c r="J64" s="22" t="s">
        <v>197</v>
      </c>
      <c r="K64" s="1" t="str" cm="1">
        <f t="array" ref="K64">INDEX(_xlfn.TEXTSPLIT(TRIM(Table5[[#This Row],[datasetIdentifier]]), "_"), COLUMNS(_xlfn.TEXTSPLIT(TRIM(Table5[[#This Row],[datasetIdentifier]]), "_")) - 2)</f>
        <v>300m</v>
      </c>
    </row>
    <row r="65" spans="1:12" ht="43.5">
      <c r="A65" s="2">
        <f t="shared" si="0"/>
        <v>64</v>
      </c>
      <c r="B65" s="6">
        <v>178</v>
      </c>
      <c r="C65" s="2" t="s">
        <v>179</v>
      </c>
      <c r="D65" s="1" t="s">
        <v>180</v>
      </c>
      <c r="E65" s="1" t="s">
        <v>181</v>
      </c>
      <c r="F65" s="1" t="s">
        <v>303</v>
      </c>
      <c r="G65" s="1" t="s">
        <v>308</v>
      </c>
      <c r="H65" t="str">
        <f>IFERROR(VLOOKUP(Table5[[#This Row],[current WEkEO dataset]],WEkEO[],2,FALSE),"-")&amp;" / "&amp;IFERROR(VLOOKUP(Table5[[#This Row],[current WEkEO dataset]],WEkEO[],3,FALSE),"-")</f>
        <v>- / -</v>
      </c>
      <c r="I65" s="1" t="s">
        <v>305</v>
      </c>
      <c r="J65" s="22" t="s">
        <v>195</v>
      </c>
      <c r="K65" s="1" t="str" cm="1">
        <f t="array" ref="K65">INDEX(_xlfn.TEXTSPLIT(TRIM(Table5[[#This Row],[datasetIdentifier]]), "_"), COLUMNS(_xlfn.TEXTSPLIT(TRIM(Table5[[#This Row],[datasetIdentifier]]), "_")) - 2)</f>
        <v>1km</v>
      </c>
    </row>
    <row r="66" spans="1:12" ht="29.25">
      <c r="A66" s="2">
        <f t="shared" si="0"/>
        <v>65</v>
      </c>
      <c r="B66" s="6">
        <v>178</v>
      </c>
      <c r="C66" s="2" t="s">
        <v>179</v>
      </c>
      <c r="D66" s="1" t="s">
        <v>180</v>
      </c>
      <c r="E66" s="1" t="s">
        <v>181</v>
      </c>
      <c r="F66" s="1" t="s">
        <v>303</v>
      </c>
      <c r="G66" s="1" t="s">
        <v>309</v>
      </c>
      <c r="H66" t="str">
        <f>IFERROR(VLOOKUP(Table5[[#This Row],[current WEkEO dataset]],WEkEO[],2,FALSE),"-")&amp;" / "&amp;IFERROR(VLOOKUP(Table5[[#This Row],[current WEkEO dataset]],WEkEO[],3,FALSE),"-")</f>
        <v>- / -</v>
      </c>
      <c r="I66" s="1" t="s">
        <v>305</v>
      </c>
      <c r="J66" s="22" t="s">
        <v>197</v>
      </c>
      <c r="K66" s="1" t="str" cm="1">
        <f t="array" ref="K66">INDEX(_xlfn.TEXTSPLIT(TRIM(Table5[[#This Row],[datasetIdentifier]]), "_"), COLUMNS(_xlfn.TEXTSPLIT(TRIM(Table5[[#This Row],[datasetIdentifier]]), "_")) - 2)</f>
        <v>300m</v>
      </c>
    </row>
    <row r="67" spans="1:12" ht="29.25">
      <c r="A67" s="2">
        <f t="shared" si="0"/>
        <v>66</v>
      </c>
      <c r="B67" s="6">
        <v>178</v>
      </c>
      <c r="C67" s="2" t="s">
        <v>179</v>
      </c>
      <c r="D67" s="1" t="s">
        <v>180</v>
      </c>
      <c r="E67" s="1" t="s">
        <v>181</v>
      </c>
      <c r="F67" s="1" t="s">
        <v>303</v>
      </c>
      <c r="G67" s="1" t="s">
        <v>310</v>
      </c>
      <c r="H67" t="str">
        <f>IFERROR(VLOOKUP(Table5[[#This Row],[current WEkEO dataset]],WEkEO[],2,FALSE),"-")&amp;" / "&amp;IFERROR(VLOOKUP(Table5[[#This Row],[current WEkEO dataset]],WEkEO[],3,FALSE),"-")</f>
        <v>- / -</v>
      </c>
      <c r="I67" s="1" t="s">
        <v>305</v>
      </c>
      <c r="J67" s="22" t="s">
        <v>197</v>
      </c>
      <c r="K67" s="1" t="str" cm="1">
        <f t="array" ref="K67">INDEX(_xlfn.TEXTSPLIT(TRIM(Table5[[#This Row],[datasetIdentifier]]), "_"), COLUMNS(_xlfn.TEXTSPLIT(TRIM(Table5[[#This Row],[datasetIdentifier]]), "_")) - 2)</f>
        <v>300m</v>
      </c>
    </row>
    <row r="68" spans="1:12" ht="29.25">
      <c r="A68" s="2">
        <f t="shared" ref="A68:A131" si="1">A67+1</f>
        <v>67</v>
      </c>
      <c r="B68" s="6">
        <v>178</v>
      </c>
      <c r="C68" s="2" t="s">
        <v>179</v>
      </c>
      <c r="D68" s="1" t="s">
        <v>180</v>
      </c>
      <c r="E68" s="1" t="s">
        <v>181</v>
      </c>
      <c r="F68" s="1" t="s">
        <v>303</v>
      </c>
      <c r="G68" s="1" t="s">
        <v>311</v>
      </c>
      <c r="H68" t="str">
        <f>IFERROR(VLOOKUP(Table5[[#This Row],[current WEkEO dataset]],WEkEO[],2,FALSE),"-")&amp;" / "&amp;IFERROR(VLOOKUP(Table5[[#This Row],[current WEkEO dataset]],WEkEO[],3,FALSE),"-")</f>
        <v>- / -</v>
      </c>
      <c r="I68" s="1" t="s">
        <v>305</v>
      </c>
      <c r="J68" s="22" t="s">
        <v>197</v>
      </c>
      <c r="K68" s="1" t="str" cm="1">
        <f t="array" ref="K68">INDEX(_xlfn.TEXTSPLIT(TRIM(Table5[[#This Row],[datasetIdentifier]]), "_"), COLUMNS(_xlfn.TEXTSPLIT(TRIM(Table5[[#This Row],[datasetIdentifier]]), "_")) - 2)</f>
        <v>300m</v>
      </c>
    </row>
    <row r="69" spans="1:12" ht="29.25">
      <c r="A69" s="2">
        <f t="shared" si="1"/>
        <v>68</v>
      </c>
      <c r="B69" s="6">
        <v>178</v>
      </c>
      <c r="C69" s="2" t="s">
        <v>179</v>
      </c>
      <c r="D69" s="1" t="s">
        <v>180</v>
      </c>
      <c r="E69" s="1" t="s">
        <v>181</v>
      </c>
      <c r="F69" s="1" t="s">
        <v>303</v>
      </c>
      <c r="G69" s="1" t="s">
        <v>312</v>
      </c>
      <c r="H69" t="str">
        <f>IFERROR(VLOOKUP(Table5[[#This Row],[current WEkEO dataset]],WEkEO[],2,FALSE),"-")&amp;" / "&amp;IFERROR(VLOOKUP(Table5[[#This Row],[current WEkEO dataset]],WEkEO[],3,FALSE),"-")</f>
        <v>- / -</v>
      </c>
      <c r="I69" s="1" t="s">
        <v>305</v>
      </c>
      <c r="J69" s="22" t="s">
        <v>197</v>
      </c>
      <c r="K69" s="1" t="str" cm="1">
        <f t="array" ref="K69">INDEX(_xlfn.TEXTSPLIT(TRIM(Table5[[#This Row],[datasetIdentifier]]), "_"), COLUMNS(_xlfn.TEXTSPLIT(TRIM(Table5[[#This Row],[datasetIdentifier]]), "_")) - 2)</f>
        <v>300m</v>
      </c>
    </row>
    <row r="70" spans="1:12">
      <c r="A70" s="2">
        <f t="shared" si="1"/>
        <v>69</v>
      </c>
      <c r="B70" s="6">
        <v>178</v>
      </c>
      <c r="C70" s="2" t="s">
        <v>179</v>
      </c>
      <c r="D70" s="1" t="s">
        <v>180</v>
      </c>
      <c r="E70" s="1" t="s">
        <v>181</v>
      </c>
      <c r="F70" s="1" t="s">
        <v>313</v>
      </c>
      <c r="G70" s="1" t="s">
        <v>314</v>
      </c>
      <c r="H70" t="str">
        <f>IFERROR(VLOOKUP(Table5[[#This Row],[current WEkEO dataset]],WEkEO[],2,FALSE),"-")&amp;" / "&amp;IFERROR(VLOOKUP(Table5[[#This Row],[current WEkEO dataset]],WEkEO[],3,FALSE),"-")</f>
        <v>- / -</v>
      </c>
      <c r="I70" s="1" t="s">
        <v>315</v>
      </c>
      <c r="J70" s="24" t="s">
        <v>316</v>
      </c>
      <c r="K70" s="1" t="str" cm="1">
        <f t="array" ref="K70">INDEX(_xlfn.TEXTSPLIT(TRIM(Table5[[#This Row],[datasetIdentifier]]), "_"), COLUMNS(_xlfn.TEXTSPLIT(TRIM(Table5[[#This Row],[datasetIdentifier]]), "_")) - 2)</f>
        <v>100m</v>
      </c>
    </row>
    <row r="71" spans="1:12" ht="43.5">
      <c r="A71" s="2">
        <f t="shared" si="1"/>
        <v>70</v>
      </c>
      <c r="B71" s="6">
        <v>178</v>
      </c>
      <c r="C71" s="2" t="s">
        <v>179</v>
      </c>
      <c r="D71" s="1" t="s">
        <v>180</v>
      </c>
      <c r="E71" s="1" t="s">
        <v>181</v>
      </c>
      <c r="F71" s="1" t="s">
        <v>313</v>
      </c>
      <c r="G71" s="1" t="s">
        <v>317</v>
      </c>
      <c r="H71" t="str">
        <f>IFERROR(VLOOKUP(Table5[[#This Row],[current WEkEO dataset]],WEkEO[],2,FALSE),"-")&amp;" / "&amp;IFERROR(VLOOKUP(Table5[[#This Row],[current WEkEO dataset]],WEkEO[],3,FALSE),"-")</f>
        <v>- / -</v>
      </c>
      <c r="I71" s="1" t="s">
        <v>315</v>
      </c>
      <c r="J71" s="22" t="s">
        <v>318</v>
      </c>
      <c r="K71" s="1" t="str" cm="1">
        <f t="array" ref="K71">INDEX(_xlfn.TEXTSPLIT(TRIM(Table5[[#This Row],[datasetIdentifier]]), "_"), COLUMNS(_xlfn.TEXTSPLIT(TRIM(Table5[[#This Row],[datasetIdentifier]]), "_")) - 2)</f>
        <v>1km</v>
      </c>
    </row>
    <row r="72" spans="1:12">
      <c r="A72" s="2">
        <f t="shared" si="1"/>
        <v>71</v>
      </c>
      <c r="B72" s="6">
        <v>178</v>
      </c>
      <c r="C72" s="2" t="s">
        <v>179</v>
      </c>
      <c r="D72" s="1" t="s">
        <v>180</v>
      </c>
      <c r="E72" s="1" t="s">
        <v>181</v>
      </c>
      <c r="F72" s="1" t="s">
        <v>313</v>
      </c>
      <c r="G72" s="1" t="s">
        <v>319</v>
      </c>
      <c r="H72" t="str">
        <f>IFERROR(VLOOKUP(Table5[[#This Row],[current WEkEO dataset]],WEkEO[],2,FALSE),"-")&amp;" / "&amp;IFERROR(VLOOKUP(Table5[[#This Row],[current WEkEO dataset]],WEkEO[],3,FALSE),"-")</f>
        <v>- / -</v>
      </c>
      <c r="I72" s="1" t="s">
        <v>315</v>
      </c>
      <c r="J72" s="24" t="s">
        <v>320</v>
      </c>
      <c r="K72" s="1" t="str" cm="1">
        <f t="array" ref="K72">INDEX(_xlfn.TEXTSPLIT(TRIM(Table5[[#This Row],[datasetIdentifier]]), "_"), COLUMNS(_xlfn.TEXTSPLIT(TRIM(Table5[[#This Row],[datasetIdentifier]]), "_")) - 2)</f>
        <v>300m</v>
      </c>
    </row>
    <row r="73" spans="1:12">
      <c r="A73" s="2">
        <f t="shared" si="1"/>
        <v>72</v>
      </c>
      <c r="B73" s="6">
        <v>178</v>
      </c>
      <c r="C73" s="2" t="s">
        <v>179</v>
      </c>
      <c r="D73" s="1" t="s">
        <v>180</v>
      </c>
      <c r="E73" s="1" t="s">
        <v>181</v>
      </c>
      <c r="F73" s="1" t="s">
        <v>313</v>
      </c>
      <c r="G73" s="1" t="s">
        <v>321</v>
      </c>
      <c r="H73" t="str">
        <f>IFERROR(VLOOKUP(Table5[[#This Row],[current WEkEO dataset]],WEkEO[],2,FALSE),"-")&amp;" / "&amp;IFERROR(VLOOKUP(Table5[[#This Row],[current WEkEO dataset]],WEkEO[],3,FALSE),"-")</f>
        <v>- / -</v>
      </c>
      <c r="I73" s="1" t="s">
        <v>315</v>
      </c>
      <c r="J73" s="24" t="s">
        <v>316</v>
      </c>
      <c r="K73" s="1" t="str" cm="1">
        <f t="array" ref="K73">INDEX(_xlfn.TEXTSPLIT(TRIM(Table5[[#This Row],[datasetIdentifier]]), "_"), COLUMNS(_xlfn.TEXTSPLIT(TRIM(Table5[[#This Row],[datasetIdentifier]]), "_")) - 2)</f>
        <v>300m</v>
      </c>
    </row>
    <row r="74" spans="1:12">
      <c r="A74" s="2">
        <f t="shared" si="1"/>
        <v>73</v>
      </c>
      <c r="B74" s="6" t="s">
        <v>322</v>
      </c>
      <c r="C74" s="2" t="s">
        <v>323</v>
      </c>
      <c r="D74" s="1" t="s">
        <v>180</v>
      </c>
      <c r="E74" s="1" t="s">
        <v>324</v>
      </c>
      <c r="F74" s="1" t="s">
        <v>325</v>
      </c>
      <c r="G74" s="1" t="s">
        <v>326</v>
      </c>
      <c r="H74" t="str">
        <f>IFERROR(VLOOKUP(Table5[[#This Row],[current WEkEO dataset]],WEkEO[],2,FALSE),"-")&amp;" / "&amp;IFERROR(VLOOKUP(Table5[[#This Row],[current WEkEO dataset]],WEkEO[],3,FALSE),"-")</f>
        <v>- / -</v>
      </c>
      <c r="I74" s="1" t="s">
        <v>327</v>
      </c>
      <c r="J74" s="18" t="s">
        <v>160</v>
      </c>
      <c r="K74" s="17" t="s">
        <v>146</v>
      </c>
      <c r="L74" s="1" t="s">
        <v>328</v>
      </c>
    </row>
    <row r="75" spans="1:12">
      <c r="A75" s="2">
        <f t="shared" si="1"/>
        <v>74</v>
      </c>
      <c r="B75" s="6" t="s">
        <v>322</v>
      </c>
      <c r="C75" s="2" t="s">
        <v>323</v>
      </c>
      <c r="D75" s="1" t="s">
        <v>180</v>
      </c>
      <c r="E75" s="1" t="s">
        <v>324</v>
      </c>
      <c r="F75" s="1" t="s">
        <v>325</v>
      </c>
      <c r="G75" s="1" t="s">
        <v>329</v>
      </c>
      <c r="H75" t="str">
        <f>IFERROR(VLOOKUP(Table5[[#This Row],[current WEkEO dataset]],WEkEO[],2,FALSE),"-")&amp;" / "&amp;IFERROR(VLOOKUP(Table5[[#This Row],[current WEkEO dataset]],WEkEO[],3,FALSE),"-")</f>
        <v>- / -</v>
      </c>
      <c r="I75" s="1" t="s">
        <v>327</v>
      </c>
      <c r="J75" s="18" t="s">
        <v>160</v>
      </c>
      <c r="K75" s="17" t="s">
        <v>146</v>
      </c>
      <c r="L75" s="1" t="s">
        <v>328</v>
      </c>
    </row>
    <row r="76" spans="1:12">
      <c r="A76" s="2">
        <f t="shared" si="1"/>
        <v>75</v>
      </c>
      <c r="B76" s="6" t="s">
        <v>322</v>
      </c>
      <c r="C76" s="2" t="s">
        <v>323</v>
      </c>
      <c r="D76" s="1" t="s">
        <v>180</v>
      </c>
      <c r="E76" s="1" t="s">
        <v>324</v>
      </c>
      <c r="F76" s="1" t="s">
        <v>325</v>
      </c>
      <c r="G76" s="1" t="s">
        <v>330</v>
      </c>
      <c r="H76" t="str">
        <f>IFERROR(VLOOKUP(Table5[[#This Row],[current WEkEO dataset]],WEkEO[],2,FALSE),"-")&amp;" / "&amp;IFERROR(VLOOKUP(Table5[[#This Row],[current WEkEO dataset]],WEkEO[],3,FALSE),"-")</f>
        <v>- / -</v>
      </c>
      <c r="I76" s="1" t="s">
        <v>327</v>
      </c>
      <c r="J76" s="19">
        <v>2021</v>
      </c>
      <c r="K76" s="17" t="s">
        <v>146</v>
      </c>
      <c r="L76" s="1" t="s">
        <v>331</v>
      </c>
    </row>
    <row r="77" spans="1:12">
      <c r="A77" s="2">
        <f t="shared" si="1"/>
        <v>76</v>
      </c>
      <c r="B77" s="6">
        <v>82</v>
      </c>
      <c r="C77" s="2" t="s">
        <v>323</v>
      </c>
      <c r="D77" s="1" t="s">
        <v>180</v>
      </c>
      <c r="E77" s="1" t="s">
        <v>332</v>
      </c>
      <c r="F77" s="1" t="s">
        <v>333</v>
      </c>
      <c r="G77" s="1" t="s">
        <v>334</v>
      </c>
      <c r="H77" t="str">
        <f>IFERROR(VLOOKUP(Table5[[#This Row],[current WEkEO dataset]],WEkEO[],2,FALSE),"-")&amp;" / "&amp;IFERROR(VLOOKUP(Table5[[#This Row],[current WEkEO dataset]],WEkEO[],3,FALSE),"-")</f>
        <v>EO:EEA:DAT:HRL:CRL / Crop Types</v>
      </c>
      <c r="I77" s="1" t="s">
        <v>335</v>
      </c>
      <c r="J77" s="17" t="s">
        <v>85</v>
      </c>
      <c r="K77" s="17" t="str" cm="1">
        <f t="array" ref="K77">INDEX(_xlfn.TEXTSPLIT(TRIM(Table5[[#This Row],[datasetIdentifier]]), "_"), COLUMNS(_xlfn.TEXTSPLIT(TRIM(Table5[[#This Row],[datasetIdentifier]]), "_")) - 2)</f>
        <v>10m</v>
      </c>
    </row>
    <row r="78" spans="1:12">
      <c r="A78" s="2">
        <f t="shared" si="1"/>
        <v>77</v>
      </c>
      <c r="B78" s="6">
        <v>83</v>
      </c>
      <c r="C78" s="2" t="s">
        <v>323</v>
      </c>
      <c r="D78" s="1" t="s">
        <v>180</v>
      </c>
      <c r="E78" s="1" t="s">
        <v>332</v>
      </c>
      <c r="F78" s="1" t="s">
        <v>333</v>
      </c>
      <c r="G78" s="1" t="s">
        <v>336</v>
      </c>
      <c r="H78" t="str">
        <f>IFERROR(VLOOKUP(Table5[[#This Row],[current WEkEO dataset]],WEkEO[],2,FALSE),"-")&amp;" / "&amp;IFERROR(VLOOKUP(Table5[[#This Row],[current WEkEO dataset]],WEkEO[],3,FALSE),"-")</f>
        <v>EO:EEA:DAT:HRL:CRL / Crop Types Confidence Layer</v>
      </c>
      <c r="I78" s="1" t="s">
        <v>335</v>
      </c>
      <c r="J78" s="17" t="s">
        <v>85</v>
      </c>
      <c r="K78" s="17" t="str" cm="1">
        <f t="array" ref="K78">INDEX(_xlfn.TEXTSPLIT(TRIM(Table5[[#This Row],[datasetIdentifier]]), "_"), COLUMNS(_xlfn.TEXTSPLIT(TRIM(Table5[[#This Row],[datasetIdentifier]]), "_")) - 2)</f>
        <v>10m</v>
      </c>
    </row>
    <row r="79" spans="1:12">
      <c r="A79" s="2">
        <f t="shared" si="1"/>
        <v>78</v>
      </c>
      <c r="B79" s="6">
        <v>79</v>
      </c>
      <c r="C79" s="2" t="s">
        <v>323</v>
      </c>
      <c r="D79" s="1" t="s">
        <v>180</v>
      </c>
      <c r="E79" s="1" t="s">
        <v>332</v>
      </c>
      <c r="F79" s="1" t="s">
        <v>337</v>
      </c>
      <c r="G79" s="1" t="s">
        <v>338</v>
      </c>
      <c r="H79" t="str">
        <f>IFERROR(VLOOKUP(Table5[[#This Row],[current WEkEO dataset]],WEkEO[],2,FALSE),"-")&amp;" / "&amp;IFERROR(VLOOKUP(Table5[[#This Row],[current WEkEO dataset]],WEkEO[],3,FALSE),"-")</f>
        <v>EO:EEA:DAT:HRL:CRL / Bare Soil After Confidence Layer</v>
      </c>
      <c r="I79" s="1" t="s">
        <v>339</v>
      </c>
      <c r="J79" s="17" t="s">
        <v>85</v>
      </c>
      <c r="K79" s="17" t="str" cm="1">
        <f t="array" ref="K79">INDEX(_xlfn.TEXTSPLIT(TRIM(Table5[[#This Row],[datasetIdentifier]]), "_"), COLUMNS(_xlfn.TEXTSPLIT(TRIM(Table5[[#This Row],[datasetIdentifier]]), "_")) - 2)</f>
        <v>10m</v>
      </c>
    </row>
    <row r="80" spans="1:12">
      <c r="A80" s="2">
        <f t="shared" si="1"/>
        <v>79</v>
      </c>
      <c r="B80" s="6">
        <v>78</v>
      </c>
      <c r="C80" s="2" t="s">
        <v>323</v>
      </c>
      <c r="D80" s="1" t="s">
        <v>180</v>
      </c>
      <c r="E80" s="1" t="s">
        <v>332</v>
      </c>
      <c r="F80" s="1" t="s">
        <v>337</v>
      </c>
      <c r="G80" s="1" t="s">
        <v>340</v>
      </c>
      <c r="H80" t="str">
        <f>IFERROR(VLOOKUP(Table5[[#This Row],[current WEkEO dataset]],WEkEO[],2,FALSE),"-")&amp;" / "&amp;IFERROR(VLOOKUP(Table5[[#This Row],[current WEkEO dataset]],WEkEO[],3,FALSE),"-")</f>
        <v>EO:EEA:DAT:HRL:CRL / Bare Soil After</v>
      </c>
      <c r="I80" s="1" t="s">
        <v>339</v>
      </c>
      <c r="J80" s="17" t="s">
        <v>85</v>
      </c>
      <c r="K80" s="17" t="str" cm="1">
        <f t="array" ref="K80">INDEX(_xlfn.TEXTSPLIT(TRIM(Table5[[#This Row],[datasetIdentifier]]), "_"), COLUMNS(_xlfn.TEXTSPLIT(TRIM(Table5[[#This Row],[datasetIdentifier]]), "_")) - 2)</f>
        <v>10m</v>
      </c>
    </row>
    <row r="81" spans="1:11">
      <c r="A81" s="2">
        <f t="shared" si="1"/>
        <v>80</v>
      </c>
      <c r="B81" s="6">
        <v>81</v>
      </c>
      <c r="C81" s="2" t="s">
        <v>323</v>
      </c>
      <c r="D81" s="1" t="s">
        <v>180</v>
      </c>
      <c r="E81" s="1" t="s">
        <v>332</v>
      </c>
      <c r="F81" s="1" t="s">
        <v>337</v>
      </c>
      <c r="G81" s="1" t="s">
        <v>341</v>
      </c>
      <c r="H81" t="str">
        <f>IFERROR(VLOOKUP(Table5[[#This Row],[current WEkEO dataset]],WEkEO[],2,FALSE),"-")&amp;" / "&amp;IFERROR(VLOOKUP(Table5[[#This Row],[current WEkEO dataset]],WEkEO[],3,FALSE),"-")</f>
        <v>EO:EEA:DAT:HRL:CRL / Bare Soil Before Confidence Layer</v>
      </c>
      <c r="I81" s="1" t="s">
        <v>339</v>
      </c>
      <c r="J81" s="17" t="s">
        <v>85</v>
      </c>
      <c r="K81" s="17" t="str" cm="1">
        <f t="array" ref="K81">INDEX(_xlfn.TEXTSPLIT(TRIM(Table5[[#This Row],[datasetIdentifier]]), "_"), COLUMNS(_xlfn.TEXTSPLIT(TRIM(Table5[[#This Row],[datasetIdentifier]]), "_")) - 2)</f>
        <v>10m</v>
      </c>
    </row>
    <row r="82" spans="1:11">
      <c r="A82" s="2">
        <f t="shared" si="1"/>
        <v>81</v>
      </c>
      <c r="B82" s="6">
        <v>80</v>
      </c>
      <c r="C82" s="2" t="s">
        <v>323</v>
      </c>
      <c r="D82" s="1" t="s">
        <v>180</v>
      </c>
      <c r="E82" s="1" t="s">
        <v>332</v>
      </c>
      <c r="F82" s="1" t="s">
        <v>337</v>
      </c>
      <c r="G82" s="1" t="s">
        <v>342</v>
      </c>
      <c r="H82" t="str">
        <f>IFERROR(VLOOKUP(Table5[[#This Row],[current WEkEO dataset]],WEkEO[],2,FALSE),"-")&amp;" / "&amp;IFERROR(VLOOKUP(Table5[[#This Row],[current WEkEO dataset]],WEkEO[],3,FALSE),"-")</f>
        <v>EO:EEA:DAT:HRL:CRL / Bare Soil Before</v>
      </c>
      <c r="I82" s="1" t="s">
        <v>339</v>
      </c>
      <c r="J82" s="17" t="s">
        <v>85</v>
      </c>
      <c r="K82" s="17" t="str" cm="1">
        <f t="array" ref="K82">INDEX(_xlfn.TEXTSPLIT(TRIM(Table5[[#This Row],[datasetIdentifier]]), "_"), COLUMNS(_xlfn.TEXTSPLIT(TRIM(Table5[[#This Row],[datasetIdentifier]]), "_")) - 2)</f>
        <v>10m</v>
      </c>
    </row>
    <row r="83" spans="1:11">
      <c r="A83" s="2">
        <f t="shared" si="1"/>
        <v>82</v>
      </c>
      <c r="B83" s="6">
        <v>84</v>
      </c>
      <c r="C83" s="2" t="s">
        <v>323</v>
      </c>
      <c r="D83" s="1" t="s">
        <v>180</v>
      </c>
      <c r="E83" s="1" t="s">
        <v>332</v>
      </c>
      <c r="F83" s="1" t="s">
        <v>337</v>
      </c>
      <c r="G83" s="1" t="s">
        <v>343</v>
      </c>
      <c r="H83" t="str">
        <f>IFERROR(VLOOKUP(Table5[[#This Row],[current WEkEO dataset]],WEkEO[],2,FALSE),"-")&amp;" / "&amp;IFERROR(VLOOKUP(Table5[[#This Row],[current WEkEO dataset]],WEkEO[],3,FALSE),"-")</f>
        <v>EO:EEA:DAT:HRL:CRL / Cropping Seasons Types over 3 years</v>
      </c>
      <c r="I83" s="1" t="s">
        <v>339</v>
      </c>
      <c r="J83" s="17" t="s">
        <v>344</v>
      </c>
      <c r="K83" s="17" t="str" cm="1">
        <f t="array" ref="K83">INDEX(_xlfn.TEXTSPLIT(TRIM(Table5[[#This Row],[datasetIdentifier]]), "_"), COLUMNS(_xlfn.TEXTSPLIT(TRIM(Table5[[#This Row],[datasetIdentifier]]), "_")) - 2)</f>
        <v>10m</v>
      </c>
    </row>
    <row r="84" spans="1:11">
      <c r="A84" s="2">
        <f t="shared" si="1"/>
        <v>83</v>
      </c>
      <c r="B84" s="6">
        <v>85</v>
      </c>
      <c r="C84" s="2" t="s">
        <v>323</v>
      </c>
      <c r="D84" s="1" t="s">
        <v>180</v>
      </c>
      <c r="E84" s="1" t="s">
        <v>332</v>
      </c>
      <c r="F84" s="1" t="s">
        <v>337</v>
      </c>
      <c r="G84" s="1" t="s">
        <v>345</v>
      </c>
      <c r="H84" t="str">
        <f>IFERROR(VLOOKUP(Table5[[#This Row],[current WEkEO dataset]],WEkEO[],2,FALSE),"-")&amp;" / "&amp;IFERROR(VLOOKUP(Table5[[#This Row],[current WEkEO dataset]],WEkEO[],3,FALSE),"-")</f>
        <v>EO:EEA:DAT:HRL:CRL / Cropping Seasons Yearly</v>
      </c>
      <c r="I84" s="1" t="s">
        <v>339</v>
      </c>
      <c r="J84" s="17" t="s">
        <v>85</v>
      </c>
      <c r="K84" s="17" t="str" cm="1">
        <f t="array" ref="K84">INDEX(_xlfn.TEXTSPLIT(TRIM(Table5[[#This Row],[datasetIdentifier]]), "_"), COLUMNS(_xlfn.TEXTSPLIT(TRIM(Table5[[#This Row],[datasetIdentifier]]), "_")) - 2)</f>
        <v>10m</v>
      </c>
    </row>
    <row r="85" spans="1:11">
      <c r="A85" s="2">
        <f t="shared" si="1"/>
        <v>84</v>
      </c>
      <c r="B85" s="6">
        <v>87</v>
      </c>
      <c r="C85" s="2" t="s">
        <v>323</v>
      </c>
      <c r="D85" s="1" t="s">
        <v>180</v>
      </c>
      <c r="E85" s="1" t="s">
        <v>332</v>
      </c>
      <c r="F85" s="1" t="s">
        <v>337</v>
      </c>
      <c r="G85" s="1" t="s">
        <v>346</v>
      </c>
      <c r="H85" t="str">
        <f>IFERROR(VLOOKUP(Table5[[#This Row],[current WEkEO dataset]],WEkEO[],2,FALSE),"-")&amp;" / "&amp;IFERROR(VLOOKUP(Table5[[#This Row],[current WEkEO dataset]],WEkEO[],3,FALSE),"-")</f>
        <v>EO:EEA:DAT:HRL:CRL / Fallow Land Duration Confidence Layer</v>
      </c>
      <c r="I85" s="1" t="s">
        <v>339</v>
      </c>
      <c r="J85" s="17" t="s">
        <v>95</v>
      </c>
      <c r="K85" s="17" t="str" cm="1">
        <f t="array" ref="K85">INDEX(_xlfn.TEXTSPLIT(TRIM(Table5[[#This Row],[datasetIdentifier]]), "_"), COLUMNS(_xlfn.TEXTSPLIT(TRIM(Table5[[#This Row],[datasetIdentifier]]), "_")) - 2)</f>
        <v>10m</v>
      </c>
    </row>
    <row r="86" spans="1:11">
      <c r="A86" s="2">
        <f t="shared" si="1"/>
        <v>85</v>
      </c>
      <c r="B86" s="6">
        <v>86</v>
      </c>
      <c r="C86" s="2" t="s">
        <v>323</v>
      </c>
      <c r="D86" s="1" t="s">
        <v>180</v>
      </c>
      <c r="E86" s="1" t="s">
        <v>332</v>
      </c>
      <c r="F86" s="1" t="s">
        <v>337</v>
      </c>
      <c r="G86" s="1" t="s">
        <v>347</v>
      </c>
      <c r="H86" t="str">
        <f>IFERROR(VLOOKUP(Table5[[#This Row],[current WEkEO dataset]],WEkEO[],2,FALSE),"-")&amp;" / "&amp;IFERROR(VLOOKUP(Table5[[#This Row],[current WEkEO dataset]],WEkEO[],3,FALSE),"-")</f>
        <v>EO:EEA:DAT:HRL:CRL / Fallow Land Duration</v>
      </c>
      <c r="I86" s="1" t="s">
        <v>339</v>
      </c>
      <c r="J86" s="17" t="s">
        <v>95</v>
      </c>
      <c r="K86" s="17" t="str" cm="1">
        <f t="array" ref="K86">INDEX(_xlfn.TEXTSPLIT(TRIM(Table5[[#This Row],[datasetIdentifier]]), "_"), COLUMNS(_xlfn.TEXTSPLIT(TRIM(Table5[[#This Row],[datasetIdentifier]]), "_")) - 2)</f>
        <v>10m</v>
      </c>
    </row>
    <row r="87" spans="1:11">
      <c r="A87" s="2">
        <f t="shared" si="1"/>
        <v>86</v>
      </c>
      <c r="B87" s="6">
        <v>89</v>
      </c>
      <c r="C87" s="2" t="s">
        <v>323</v>
      </c>
      <c r="D87" s="1" t="s">
        <v>180</v>
      </c>
      <c r="E87" s="1" t="s">
        <v>332</v>
      </c>
      <c r="F87" s="1" t="s">
        <v>337</v>
      </c>
      <c r="G87" s="1" t="s">
        <v>348</v>
      </c>
      <c r="H87" t="str">
        <f>IFERROR(VLOOKUP(Table5[[#This Row],[current WEkEO dataset]],WEkEO[],2,FALSE),"-")&amp;" / "&amp;IFERROR(VLOOKUP(Table5[[#This Row],[current WEkEO dataset]],WEkEO[],3,FALSE),"-")</f>
        <v>EO:EEA:DAT:HRL:CRL / Fallow Land Presence Confidence Layer</v>
      </c>
      <c r="I87" s="1" t="s">
        <v>339</v>
      </c>
      <c r="J87" s="17" t="s">
        <v>85</v>
      </c>
      <c r="K87" s="17" t="str" cm="1">
        <f t="array" ref="K87">INDEX(_xlfn.TEXTSPLIT(TRIM(Table5[[#This Row],[datasetIdentifier]]), "_"), COLUMNS(_xlfn.TEXTSPLIT(TRIM(Table5[[#This Row],[datasetIdentifier]]), "_")) - 2)</f>
        <v>10m</v>
      </c>
    </row>
    <row r="88" spans="1:11">
      <c r="A88" s="2">
        <f t="shared" si="1"/>
        <v>87</v>
      </c>
      <c r="B88" s="6">
        <v>88</v>
      </c>
      <c r="C88" s="2" t="s">
        <v>323</v>
      </c>
      <c r="D88" s="1" t="s">
        <v>180</v>
      </c>
      <c r="E88" s="1" t="s">
        <v>332</v>
      </c>
      <c r="F88" s="1" t="s">
        <v>337</v>
      </c>
      <c r="G88" s="1" t="s">
        <v>349</v>
      </c>
      <c r="H88" t="str">
        <f>IFERROR(VLOOKUP(Table5[[#This Row],[current WEkEO dataset]],WEkEO[],2,FALSE),"-")&amp;" / "&amp;IFERROR(VLOOKUP(Table5[[#This Row],[current WEkEO dataset]],WEkEO[],3,FALSE),"-")</f>
        <v>EO:EEA:DAT:HRL:CRL / Fallow Land Presence</v>
      </c>
      <c r="I88" s="1" t="s">
        <v>339</v>
      </c>
      <c r="J88" s="17" t="s">
        <v>85</v>
      </c>
      <c r="K88" s="17" t="str" cm="1">
        <f t="array" ref="K88">INDEX(_xlfn.TEXTSPLIT(TRIM(Table5[[#This Row],[datasetIdentifier]]), "_"), COLUMNS(_xlfn.TEXTSPLIT(TRIM(Table5[[#This Row],[datasetIdentifier]]), "_")) - 2)</f>
        <v>10m</v>
      </c>
    </row>
    <row r="89" spans="1:11">
      <c r="A89" s="2">
        <f t="shared" si="1"/>
        <v>88</v>
      </c>
      <c r="B89" s="6">
        <v>91</v>
      </c>
      <c r="C89" s="2" t="s">
        <v>323</v>
      </c>
      <c r="D89" s="1" t="s">
        <v>180</v>
      </c>
      <c r="E89" s="1" t="s">
        <v>332</v>
      </c>
      <c r="F89" s="1" t="s">
        <v>337</v>
      </c>
      <c r="G89" s="1" t="s">
        <v>350</v>
      </c>
      <c r="H89" t="str">
        <f>IFERROR(VLOOKUP(Table5[[#This Row],[current WEkEO dataset]],WEkEO[],2,FALSE),"-")&amp;" / "&amp;IFERROR(VLOOKUP(Table5[[#This Row],[current WEkEO dataset]],WEkEO[],3,FALSE),"-")</f>
        <v>EO:EEA:DAT:HRL:CRL / Main Crop Duration Confidence Layer</v>
      </c>
      <c r="I89" s="1" t="s">
        <v>339</v>
      </c>
      <c r="J89" s="17" t="s">
        <v>85</v>
      </c>
      <c r="K89" s="17" t="str" cm="1">
        <f t="array" ref="K89">INDEX(_xlfn.TEXTSPLIT(TRIM(Table5[[#This Row],[datasetIdentifier]]), "_"), COLUMNS(_xlfn.TEXTSPLIT(TRIM(Table5[[#This Row],[datasetIdentifier]]), "_")) - 2)</f>
        <v>10m</v>
      </c>
    </row>
    <row r="90" spans="1:11">
      <c r="A90" s="2">
        <f t="shared" si="1"/>
        <v>89</v>
      </c>
      <c r="B90" s="6">
        <v>90</v>
      </c>
      <c r="C90" s="2" t="s">
        <v>323</v>
      </c>
      <c r="D90" s="1" t="s">
        <v>180</v>
      </c>
      <c r="E90" s="1" t="s">
        <v>332</v>
      </c>
      <c r="F90" s="1" t="s">
        <v>337</v>
      </c>
      <c r="G90" s="1" t="s">
        <v>351</v>
      </c>
      <c r="H90" t="str">
        <f>IFERROR(VLOOKUP(Table5[[#This Row],[current WEkEO dataset]],WEkEO[],2,FALSE),"-")&amp;" / "&amp;IFERROR(VLOOKUP(Table5[[#This Row],[current WEkEO dataset]],WEkEO[],3,FALSE),"-")</f>
        <v>EO:EEA:DAT:HRL:CRL / Main Crop Duration</v>
      </c>
      <c r="I90" s="1" t="s">
        <v>339</v>
      </c>
      <c r="J90" s="17" t="s">
        <v>85</v>
      </c>
      <c r="K90" s="17" t="str" cm="1">
        <f t="array" ref="K90">INDEX(_xlfn.TEXTSPLIT(TRIM(Table5[[#This Row],[datasetIdentifier]]), "_"), COLUMNS(_xlfn.TEXTSPLIT(TRIM(Table5[[#This Row],[datasetIdentifier]]), "_")) - 2)</f>
        <v>10m</v>
      </c>
    </row>
    <row r="91" spans="1:11">
      <c r="A91" s="2">
        <f t="shared" si="1"/>
        <v>90</v>
      </c>
      <c r="B91" s="6">
        <v>93</v>
      </c>
      <c r="C91" s="2" t="s">
        <v>323</v>
      </c>
      <c r="D91" s="1" t="s">
        <v>180</v>
      </c>
      <c r="E91" s="1" t="s">
        <v>332</v>
      </c>
      <c r="F91" s="1" t="s">
        <v>337</v>
      </c>
      <c r="G91" s="1" t="s">
        <v>352</v>
      </c>
      <c r="H91" t="str">
        <f>IFERROR(VLOOKUP(Table5[[#This Row],[current WEkEO dataset]],WEkEO[],2,FALSE),"-")&amp;" / "&amp;IFERROR(VLOOKUP(Table5[[#This Row],[current WEkEO dataset]],WEkEO[],3,FALSE),"-")</f>
        <v>EO:EEA:DAT:HRL:CRL / Main Crop Emergence Confidence Layer</v>
      </c>
      <c r="I91" s="1" t="s">
        <v>339</v>
      </c>
      <c r="J91" s="17" t="s">
        <v>85</v>
      </c>
      <c r="K91" s="17" t="str" cm="1">
        <f t="array" ref="K91">INDEX(_xlfn.TEXTSPLIT(TRIM(Table5[[#This Row],[datasetIdentifier]]), "_"), COLUMNS(_xlfn.TEXTSPLIT(TRIM(Table5[[#This Row],[datasetIdentifier]]), "_")) - 2)</f>
        <v>10m</v>
      </c>
    </row>
    <row r="92" spans="1:11">
      <c r="A92" s="2">
        <f t="shared" si="1"/>
        <v>91</v>
      </c>
      <c r="B92" s="6">
        <v>92</v>
      </c>
      <c r="C92" s="2" t="s">
        <v>323</v>
      </c>
      <c r="D92" s="1" t="s">
        <v>180</v>
      </c>
      <c r="E92" s="1" t="s">
        <v>332</v>
      </c>
      <c r="F92" s="1" t="s">
        <v>337</v>
      </c>
      <c r="G92" s="1" t="s">
        <v>353</v>
      </c>
      <c r="H92" t="str">
        <f>IFERROR(VLOOKUP(Table5[[#This Row],[current WEkEO dataset]],WEkEO[],2,FALSE),"-")&amp;" / "&amp;IFERROR(VLOOKUP(Table5[[#This Row],[current WEkEO dataset]],WEkEO[],3,FALSE),"-")</f>
        <v>EO:EEA:DAT:HRL:CRL / Main Crop Emergence</v>
      </c>
      <c r="I92" s="1" t="s">
        <v>339</v>
      </c>
      <c r="J92" s="17" t="s">
        <v>85</v>
      </c>
      <c r="K92" s="17" t="str" cm="1">
        <f t="array" ref="K92">INDEX(_xlfn.TEXTSPLIT(TRIM(Table5[[#This Row],[datasetIdentifier]]), "_"), COLUMNS(_xlfn.TEXTSPLIT(TRIM(Table5[[#This Row],[datasetIdentifier]]), "_")) - 2)</f>
        <v>10m</v>
      </c>
    </row>
    <row r="93" spans="1:11">
      <c r="A93" s="2">
        <f t="shared" si="1"/>
        <v>92</v>
      </c>
      <c r="B93" s="6">
        <v>94</v>
      </c>
      <c r="C93" s="2" t="s">
        <v>323</v>
      </c>
      <c r="D93" s="1" t="s">
        <v>180</v>
      </c>
      <c r="E93" s="1" t="s">
        <v>332</v>
      </c>
      <c r="F93" s="1" t="s">
        <v>337</v>
      </c>
      <c r="G93" s="1" t="s">
        <v>354</v>
      </c>
      <c r="H93" t="str">
        <f>IFERROR(VLOOKUP(Table5[[#This Row],[current WEkEO dataset]],WEkEO[],2,FALSE),"-")&amp;" / "&amp;IFERROR(VLOOKUP(Table5[[#This Row],[current WEkEO dataset]],WEkEO[],3,FALSE),"-")</f>
        <v>EO:EEA:DAT:HRL:CRL / Main Crop Harvest</v>
      </c>
      <c r="I93" s="1" t="s">
        <v>339</v>
      </c>
      <c r="J93" s="17" t="s">
        <v>85</v>
      </c>
      <c r="K93" s="17" t="str" cm="1">
        <f t="array" ref="K93">INDEX(_xlfn.TEXTSPLIT(TRIM(Table5[[#This Row],[datasetIdentifier]]), "_"), COLUMNS(_xlfn.TEXTSPLIT(TRIM(Table5[[#This Row],[datasetIdentifier]]), "_")) - 2)</f>
        <v>10m</v>
      </c>
    </row>
    <row r="94" spans="1:11">
      <c r="A94" s="2">
        <f t="shared" si="1"/>
        <v>93</v>
      </c>
      <c r="B94" s="6">
        <v>95</v>
      </c>
      <c r="C94" s="2" t="s">
        <v>323</v>
      </c>
      <c r="D94" s="1" t="s">
        <v>180</v>
      </c>
      <c r="E94" s="1" t="s">
        <v>332</v>
      </c>
      <c r="F94" s="1" t="s">
        <v>337</v>
      </c>
      <c r="G94" s="1" t="s">
        <v>355</v>
      </c>
      <c r="H94" t="str">
        <f>IFERROR(VLOOKUP(Table5[[#This Row],[current WEkEO dataset]],WEkEO[],2,FALSE),"-")&amp;" / "&amp;IFERROR(VLOOKUP(Table5[[#This Row],[current WEkEO dataset]],WEkEO[],3,FALSE),"-")</f>
        <v>EO:EEA:DAT:HRL:CRL / Main Crop Harvest Confidence Layer</v>
      </c>
      <c r="I94" s="1" t="s">
        <v>339</v>
      </c>
      <c r="J94" s="17" t="s">
        <v>85</v>
      </c>
      <c r="K94" s="17" t="str" cm="1">
        <f t="array" ref="K94">INDEX(_xlfn.TEXTSPLIT(TRIM(Table5[[#This Row],[datasetIdentifier]]), "_"), COLUMNS(_xlfn.TEXTSPLIT(TRIM(Table5[[#This Row],[datasetIdentifier]]), "_")) - 2)</f>
        <v>10m</v>
      </c>
    </row>
    <row r="95" spans="1:11">
      <c r="A95" s="2">
        <f t="shared" si="1"/>
        <v>94</v>
      </c>
      <c r="B95" s="6">
        <v>97</v>
      </c>
      <c r="C95" s="2" t="s">
        <v>323</v>
      </c>
      <c r="D95" s="1" t="s">
        <v>180</v>
      </c>
      <c r="E95" s="1" t="s">
        <v>332</v>
      </c>
      <c r="F95" s="1" t="s">
        <v>337</v>
      </c>
      <c r="G95" s="1" t="s">
        <v>356</v>
      </c>
      <c r="H95" t="str">
        <f>IFERROR(VLOOKUP(Table5[[#This Row],[current WEkEO dataset]],WEkEO[],2,FALSE),"-")&amp;" / "&amp;IFERROR(VLOOKUP(Table5[[#This Row],[current WEkEO dataset]],WEkEO[],3,FALSE),"-")</f>
        <v>EO:EEA:DAT:HRL:CRL / Secondary Crops Duration Confidence Layer</v>
      </c>
      <c r="I95" s="1" t="s">
        <v>339</v>
      </c>
      <c r="J95" s="17" t="s">
        <v>85</v>
      </c>
      <c r="K95" s="17" t="str" cm="1">
        <f t="array" ref="K95">INDEX(_xlfn.TEXTSPLIT(TRIM(Table5[[#This Row],[datasetIdentifier]]), "_"), COLUMNS(_xlfn.TEXTSPLIT(TRIM(Table5[[#This Row],[datasetIdentifier]]), "_")) - 2)</f>
        <v>10m</v>
      </c>
    </row>
    <row r="96" spans="1:11">
      <c r="A96" s="2">
        <f t="shared" si="1"/>
        <v>95</v>
      </c>
      <c r="B96" s="6">
        <v>96</v>
      </c>
      <c r="C96" s="2" t="s">
        <v>323</v>
      </c>
      <c r="D96" s="1" t="s">
        <v>180</v>
      </c>
      <c r="E96" s="1" t="s">
        <v>332</v>
      </c>
      <c r="F96" s="1" t="s">
        <v>337</v>
      </c>
      <c r="G96" s="1" t="s">
        <v>357</v>
      </c>
      <c r="H96" t="str">
        <f>IFERROR(VLOOKUP(Table5[[#This Row],[current WEkEO dataset]],WEkEO[],2,FALSE),"-")&amp;" / "&amp;IFERROR(VLOOKUP(Table5[[#This Row],[current WEkEO dataset]],WEkEO[],3,FALSE),"-")</f>
        <v>EO:EEA:DAT:HRL:CRL / Secondary Crops Duration</v>
      </c>
      <c r="I96" s="1" t="s">
        <v>339</v>
      </c>
      <c r="J96" s="17" t="s">
        <v>85</v>
      </c>
      <c r="K96" s="17" t="str" cm="1">
        <f t="array" ref="K96">INDEX(_xlfn.TEXTSPLIT(TRIM(Table5[[#This Row],[datasetIdentifier]]), "_"), COLUMNS(_xlfn.TEXTSPLIT(TRIM(Table5[[#This Row],[datasetIdentifier]]), "_")) - 2)</f>
        <v>10m</v>
      </c>
    </row>
    <row r="97" spans="1:11">
      <c r="A97" s="2">
        <f t="shared" si="1"/>
        <v>96</v>
      </c>
      <c r="B97" s="6">
        <v>98</v>
      </c>
      <c r="C97" s="2" t="s">
        <v>323</v>
      </c>
      <c r="D97" s="1" t="s">
        <v>180</v>
      </c>
      <c r="E97" s="1" t="s">
        <v>332</v>
      </c>
      <c r="F97" s="1" t="s">
        <v>337</v>
      </c>
      <c r="G97" s="1" t="s">
        <v>358</v>
      </c>
      <c r="H97" t="str">
        <f>IFERROR(VLOOKUP(Table5[[#This Row],[current WEkEO dataset]],WEkEO[],2,FALSE),"-")&amp;" / "&amp;IFERROR(VLOOKUP(Table5[[#This Row],[current WEkEO dataset]],WEkEO[],3,FALSE),"-")</f>
        <v>EO:EEA:DAT:HRL:CRL / Secondary Crops Emergence</v>
      </c>
      <c r="I97" s="1" t="s">
        <v>339</v>
      </c>
      <c r="J97" s="17" t="s">
        <v>85</v>
      </c>
      <c r="K97" s="17" t="str" cm="1">
        <f t="array" ref="K97">INDEX(_xlfn.TEXTSPLIT(TRIM(Table5[[#This Row],[datasetIdentifier]]), "_"), COLUMNS(_xlfn.TEXTSPLIT(TRIM(Table5[[#This Row],[datasetIdentifier]]), "_")) - 2)</f>
        <v>10m</v>
      </c>
    </row>
    <row r="98" spans="1:11">
      <c r="A98" s="2">
        <f t="shared" si="1"/>
        <v>97</v>
      </c>
      <c r="B98" s="6">
        <v>99</v>
      </c>
      <c r="C98" s="2" t="s">
        <v>323</v>
      </c>
      <c r="D98" s="1" t="s">
        <v>180</v>
      </c>
      <c r="E98" s="1" t="s">
        <v>332</v>
      </c>
      <c r="F98" s="1" t="s">
        <v>337</v>
      </c>
      <c r="G98" s="1" t="s">
        <v>359</v>
      </c>
      <c r="H98" t="str">
        <f>IFERROR(VLOOKUP(Table5[[#This Row],[current WEkEO dataset]],WEkEO[],2,FALSE),"-")&amp;" / "&amp;IFERROR(VLOOKUP(Table5[[#This Row],[current WEkEO dataset]],WEkEO[],3,FALSE),"-")</f>
        <v>EO:EEA:DAT:HRL:CRL / Secondary Crops Type</v>
      </c>
      <c r="I98" s="1" t="s">
        <v>339</v>
      </c>
      <c r="J98" s="17" t="s">
        <v>85</v>
      </c>
      <c r="K98" s="17" t="str" cm="1">
        <f t="array" ref="K98">INDEX(_xlfn.TEXTSPLIT(TRIM(Table5[[#This Row],[datasetIdentifier]]), "_"), COLUMNS(_xlfn.TEXTSPLIT(TRIM(Table5[[#This Row],[datasetIdentifier]]), "_")) - 2)</f>
        <v>10m</v>
      </c>
    </row>
    <row r="99" spans="1:11">
      <c r="A99" s="2">
        <f t="shared" si="1"/>
        <v>98</v>
      </c>
      <c r="B99" s="7">
        <v>155</v>
      </c>
      <c r="C99" s="2" t="s">
        <v>323</v>
      </c>
      <c r="D99" s="1" t="s">
        <v>180</v>
      </c>
      <c r="E99" s="1" t="s">
        <v>332</v>
      </c>
      <c r="F99" s="1" t="s">
        <v>360</v>
      </c>
      <c r="G99" s="1" t="s">
        <v>361</v>
      </c>
      <c r="H99" t="str">
        <f>IFERROR(VLOOKUP(Table5[[#This Row],[current WEkEO dataset]],WEkEO[],2,FALSE),"-")&amp;" / "&amp;IFERROR(VLOOKUP(Table5[[#This Row],[current WEkEO dataset]],WEkEO[],3,FALSE),"-")</f>
        <v>EO:EEA:DAT:HRL:TCF / Broadleaved Cover Density</v>
      </c>
      <c r="I99" s="1" t="s">
        <v>362</v>
      </c>
      <c r="J99" s="20" t="s">
        <v>153</v>
      </c>
      <c r="K99" s="19" t="str" cm="1">
        <f t="array" ref="K99">INDEX(_xlfn.TEXTSPLIT(TRIM(Table5[[#This Row],[datasetIdentifier]]), "_"), COLUMNS(_xlfn.TEXTSPLIT(TRIM(Table5[[#This Row],[datasetIdentifier]]), "_")) - 2)</f>
        <v>100m</v>
      </c>
    </row>
    <row r="100" spans="1:11">
      <c r="A100" s="2">
        <f t="shared" si="1"/>
        <v>99</v>
      </c>
      <c r="B100" s="7">
        <v>156</v>
      </c>
      <c r="C100" s="2" t="s">
        <v>323</v>
      </c>
      <c r="D100" s="1" t="s">
        <v>180</v>
      </c>
      <c r="E100" s="1" t="s">
        <v>332</v>
      </c>
      <c r="F100" s="1" t="s">
        <v>360</v>
      </c>
      <c r="G100" s="1" t="s">
        <v>363</v>
      </c>
      <c r="H100" t="str">
        <f>IFERROR(VLOOKUP(Table5[[#This Row],[current WEkEO dataset]],WEkEO[],2,FALSE),"-")&amp;" / "&amp;IFERROR(VLOOKUP(Table5[[#This Row],[current WEkEO dataset]],WEkEO[],3,FALSE),"-")</f>
        <v>EO:EEA:DAT:HRL:TCF / Coniferous Cover Density</v>
      </c>
      <c r="I100" s="1" t="s">
        <v>362</v>
      </c>
      <c r="J100" s="20" t="s">
        <v>153</v>
      </c>
      <c r="K100" s="19" t="str" cm="1">
        <f t="array" ref="K100">INDEX(_xlfn.TEXTSPLIT(TRIM(Table5[[#This Row],[datasetIdentifier]]), "_"), COLUMNS(_xlfn.TEXTSPLIT(TRIM(Table5[[#This Row],[datasetIdentifier]]), "_")) - 2)</f>
        <v>100m</v>
      </c>
    </row>
    <row r="101" spans="1:11">
      <c r="A101" s="2">
        <f t="shared" si="1"/>
        <v>100</v>
      </c>
      <c r="B101" s="6">
        <v>161</v>
      </c>
      <c r="C101" s="2" t="s">
        <v>323</v>
      </c>
      <c r="D101" s="1" t="s">
        <v>180</v>
      </c>
      <c r="E101" s="1" t="s">
        <v>332</v>
      </c>
      <c r="F101" s="1" t="s">
        <v>360</v>
      </c>
      <c r="G101" s="1" t="s">
        <v>364</v>
      </c>
      <c r="H101" t="str">
        <f>IFERROR(VLOOKUP(Table5[[#This Row],[current WEkEO dataset]],WEkEO[],2,FALSE),"-")&amp;" / "&amp;IFERROR(VLOOKUP(Table5[[#This Row],[current WEkEO dataset]],WEkEO[],3,FALSE),"-")</f>
        <v>EO:EEA:DAT:HRL:TCF / Dominant Leaf Type Change</v>
      </c>
      <c r="I101" s="1" t="s">
        <v>362</v>
      </c>
      <c r="J101" s="17" t="s">
        <v>115</v>
      </c>
      <c r="K101" s="17" t="str" cm="1">
        <f t="array" ref="K101">INDEX(_xlfn.TEXTSPLIT(TRIM(Table5[[#This Row],[datasetIdentifier]]), "_"), COLUMNS(_xlfn.TEXTSPLIT(TRIM(Table5[[#This Row],[datasetIdentifier]]), "_")) - 2)</f>
        <v>20m</v>
      </c>
    </row>
    <row r="102" spans="1:11">
      <c r="A102" s="2">
        <f>A101+1</f>
        <v>101</v>
      </c>
      <c r="B102" s="6">
        <v>159</v>
      </c>
      <c r="C102" s="2" t="s">
        <v>323</v>
      </c>
      <c r="D102" s="1" t="s">
        <v>180</v>
      </c>
      <c r="E102" s="1" t="s">
        <v>332</v>
      </c>
      <c r="F102" s="1" t="s">
        <v>360</v>
      </c>
      <c r="G102" s="1" t="s">
        <v>365</v>
      </c>
      <c r="H102" t="str">
        <f>IFERROR(VLOOKUP(Table5[[#This Row],[current WEkEO dataset]],WEkEO[],2,FALSE),"-")&amp;" / "&amp;IFERROR(VLOOKUP(Table5[[#This Row],[current WEkEO dataset]],WEkEO[],3,FALSE),"-")</f>
        <v>EO:EEA:DAT:HRL:TCF / Dominant Leaf Type Confidence Layer</v>
      </c>
      <c r="I102" s="1" t="s">
        <v>362</v>
      </c>
      <c r="J102" s="20" t="s">
        <v>153</v>
      </c>
      <c r="K102" s="17" t="str" cm="1">
        <f t="array" ref="K102">INDEX(_xlfn.TEXTSPLIT(TRIM(Table5[[#This Row],[datasetIdentifier]]), "_"), COLUMNS(_xlfn.TEXTSPLIT(TRIM(Table5[[#This Row],[datasetIdentifier]]), "_")) - 2)</f>
        <v>10m</v>
      </c>
    </row>
    <row r="103" spans="1:11">
      <c r="A103" s="2">
        <f t="shared" si="1"/>
        <v>102</v>
      </c>
      <c r="B103" s="6">
        <v>158</v>
      </c>
      <c r="C103" s="2" t="s">
        <v>323</v>
      </c>
      <c r="D103" s="1" t="s">
        <v>180</v>
      </c>
      <c r="E103" s="1" t="s">
        <v>332</v>
      </c>
      <c r="F103" s="1" t="s">
        <v>360</v>
      </c>
      <c r="G103" s="1" t="s">
        <v>366</v>
      </c>
      <c r="H103" t="str">
        <f>IFERROR(VLOOKUP(Table5[[#This Row],[current WEkEO dataset]],WEkEO[],2,FALSE),"-")&amp;" / "&amp;IFERROR(VLOOKUP(Table5[[#This Row],[current WEkEO dataset]],WEkEO[],3,FALSE),"-")</f>
        <v>EO:EEA:DAT:HRL:TCF / Dominant Leaf Type</v>
      </c>
      <c r="I103" s="1" t="s">
        <v>362</v>
      </c>
      <c r="J103" s="20" t="s">
        <v>153</v>
      </c>
      <c r="K103" s="17" t="str" cm="1">
        <f t="array" ref="K103">INDEX(_xlfn.TEXTSPLIT(TRIM(Table5[[#This Row],[datasetIdentifier]]), "_"), COLUMNS(_xlfn.TEXTSPLIT(TRIM(Table5[[#This Row],[datasetIdentifier]]), "_")) - 2)</f>
        <v>10m</v>
      </c>
    </row>
    <row r="104" spans="1:11">
      <c r="A104" s="2">
        <f t="shared" si="1"/>
        <v>103</v>
      </c>
      <c r="B104" s="6">
        <v>178</v>
      </c>
      <c r="C104" s="2" t="s">
        <v>179</v>
      </c>
      <c r="D104" s="1" t="s">
        <v>180</v>
      </c>
      <c r="E104" s="1" t="s">
        <v>332</v>
      </c>
      <c r="F104" s="1" t="s">
        <v>367</v>
      </c>
      <c r="G104" s="1" t="s">
        <v>368</v>
      </c>
      <c r="H104" t="str">
        <f>IFERROR(VLOOKUP(Table5[[#This Row],[current WEkEO dataset]],WEkEO[],2,FALSE),"-")&amp;" / "&amp;IFERROR(VLOOKUP(Table5[[#This Row],[current WEkEO dataset]],WEkEO[],3,FALSE),"-")</f>
        <v>- / -</v>
      </c>
      <c r="I104" s="1" t="s">
        <v>369</v>
      </c>
      <c r="J104" s="1" t="s">
        <v>370</v>
      </c>
      <c r="K104" s="1" t="str" cm="1">
        <f t="array" ref="K104">INDEX(_xlfn.TEXTSPLIT(TRIM(Table5[[#This Row],[datasetIdentifier]]), "_"), COLUMNS(_xlfn.TEXTSPLIT(TRIM(Table5[[#This Row],[datasetIdentifier]]), "_")) - 2)</f>
        <v>100m</v>
      </c>
    </row>
    <row r="105" spans="1:11">
      <c r="A105" s="2">
        <f t="shared" si="1"/>
        <v>104</v>
      </c>
      <c r="B105" s="6">
        <v>178</v>
      </c>
      <c r="C105" s="2" t="s">
        <v>179</v>
      </c>
      <c r="D105" s="1" t="s">
        <v>180</v>
      </c>
      <c r="E105" s="1" t="s">
        <v>332</v>
      </c>
      <c r="F105" s="1" t="s">
        <v>367</v>
      </c>
      <c r="G105" s="1" t="s">
        <v>371</v>
      </c>
      <c r="H105" t="str">
        <f>IFERROR(VLOOKUP(Table5[[#This Row],[current WEkEO dataset]],WEkEO[],2,FALSE),"-")&amp;" / "&amp;IFERROR(VLOOKUP(Table5[[#This Row],[current WEkEO dataset]],WEkEO[],3,FALSE),"-")</f>
        <v>- / -</v>
      </c>
      <c r="I105" s="1" t="s">
        <v>369</v>
      </c>
      <c r="J105" s="8">
        <v>2020</v>
      </c>
      <c r="K105" s="1" t="str" cm="1">
        <f t="array" ref="K105">INDEX(_xlfn.TEXTSPLIT(TRIM(Table5[[#This Row],[datasetIdentifier]]), "_"), COLUMNS(_xlfn.TEXTSPLIT(TRIM(Table5[[#This Row],[datasetIdentifier]]), "_")) - 2)</f>
        <v>10m</v>
      </c>
    </row>
    <row r="106" spans="1:11">
      <c r="A106" s="2">
        <f t="shared" si="1"/>
        <v>105</v>
      </c>
      <c r="B106" s="6">
        <v>178</v>
      </c>
      <c r="C106" s="2" t="s">
        <v>179</v>
      </c>
      <c r="D106" s="1" t="s">
        <v>180</v>
      </c>
      <c r="E106" s="1" t="s">
        <v>332</v>
      </c>
      <c r="F106" s="1" t="s">
        <v>367</v>
      </c>
      <c r="G106" s="1" t="s">
        <v>372</v>
      </c>
      <c r="H106" t="str">
        <f>IFERROR(VLOOKUP(Table5[[#This Row],[current WEkEO dataset]],WEkEO[],2,FALSE),"-")&amp;" / "&amp;IFERROR(VLOOKUP(Table5[[#This Row],[current WEkEO dataset]],WEkEO[],3,FALSE),"-")</f>
        <v>- / -</v>
      </c>
      <c r="I106" s="1" t="s">
        <v>369</v>
      </c>
      <c r="J106" s="8">
        <v>2020</v>
      </c>
      <c r="K106" s="1" t="str" cm="1">
        <f t="array" ref="K106">INDEX(_xlfn.TEXTSPLIT(TRIM(Table5[[#This Row],[datasetIdentifier]]), "_"), COLUMNS(_xlfn.TEXTSPLIT(TRIM(Table5[[#This Row],[datasetIdentifier]]), "_")) - 2)</f>
        <v>10m</v>
      </c>
    </row>
    <row r="107" spans="1:11">
      <c r="A107" s="2">
        <f t="shared" si="1"/>
        <v>106</v>
      </c>
      <c r="B107" s="6">
        <v>162</v>
      </c>
      <c r="C107" s="2" t="s">
        <v>323</v>
      </c>
      <c r="D107" s="1" t="s">
        <v>180</v>
      </c>
      <c r="E107" s="1" t="s">
        <v>332</v>
      </c>
      <c r="F107" s="1" t="s">
        <v>373</v>
      </c>
      <c r="G107" s="1" t="s">
        <v>374</v>
      </c>
      <c r="H107" t="str">
        <f>IFERROR(VLOOKUP(Table5[[#This Row],[current WEkEO dataset]],WEkEO[],2,FALSE),"-")&amp;" / "&amp;IFERROR(VLOOKUP(Table5[[#This Row],[current WEkEO dataset]],WEkEO[],3,FALSE),"-")</f>
        <v>EO:EEA:DAT:HRL:TCF / Forest Additional Support Layer</v>
      </c>
      <c r="I107" s="1" t="s">
        <v>375</v>
      </c>
      <c r="J107" s="17" t="s">
        <v>160</v>
      </c>
      <c r="K107" s="17" t="str" cm="1">
        <f t="array" ref="K107">INDEX(_xlfn.TEXTSPLIT(TRIM(Table5[[#This Row],[datasetIdentifier]]), "_"), COLUMNS(_xlfn.TEXTSPLIT(TRIM(Table5[[#This Row],[datasetIdentifier]]), "_")) - 2)</f>
        <v>10m</v>
      </c>
    </row>
    <row r="108" spans="1:11">
      <c r="A108" s="2">
        <f t="shared" si="1"/>
        <v>107</v>
      </c>
      <c r="B108" s="6">
        <v>164</v>
      </c>
      <c r="C108" s="2" t="s">
        <v>323</v>
      </c>
      <c r="D108" s="1" t="s">
        <v>180</v>
      </c>
      <c r="E108" s="1" t="s">
        <v>332</v>
      </c>
      <c r="F108" s="1" t="s">
        <v>373</v>
      </c>
      <c r="G108" s="1" t="s">
        <v>376</v>
      </c>
      <c r="H108" t="str">
        <f>IFERROR(VLOOKUP(Table5[[#This Row],[current WEkEO dataset]],WEkEO[],2,FALSE),"-")&amp;" / "&amp;IFERROR(VLOOKUP(Table5[[#This Row],[current WEkEO dataset]],WEkEO[],3,FALSE),"-")</f>
        <v>EO:EEA:DAT:HRL:TCF / Forest Type</v>
      </c>
      <c r="I108" s="1" t="s">
        <v>375</v>
      </c>
      <c r="J108" s="17" t="s">
        <v>160</v>
      </c>
      <c r="K108" s="17" t="str" cm="1">
        <f t="array" ref="K108">INDEX(_xlfn.TEXTSPLIT(TRIM(Table5[[#This Row],[datasetIdentifier]]), "_"), COLUMNS(_xlfn.TEXTSPLIT(TRIM(Table5[[#This Row],[datasetIdentifier]]), "_")) - 2)</f>
        <v>100m</v>
      </c>
    </row>
    <row r="109" spans="1:11">
      <c r="A109" s="2">
        <f t="shared" si="1"/>
        <v>108</v>
      </c>
      <c r="B109" s="6">
        <v>166</v>
      </c>
      <c r="C109" s="2" t="s">
        <v>323</v>
      </c>
      <c r="D109" s="1" t="s">
        <v>180</v>
      </c>
      <c r="E109" s="1" t="s">
        <v>332</v>
      </c>
      <c r="F109" s="1" t="s">
        <v>373</v>
      </c>
      <c r="G109" s="1" t="s">
        <v>377</v>
      </c>
      <c r="H109" t="str">
        <f>IFERROR(VLOOKUP(Table5[[#This Row],[current WEkEO dataset]],WEkEO[],2,FALSE),"-")&amp;" / "&amp;IFERROR(VLOOKUP(Table5[[#This Row],[current WEkEO dataset]],WEkEO[],3,FALSE),"-")</f>
        <v>EO:EEA:DAT:HRL:TCF / Forest Type</v>
      </c>
      <c r="I109" s="1" t="s">
        <v>375</v>
      </c>
      <c r="J109" s="17" t="s">
        <v>160</v>
      </c>
      <c r="K109" s="17" t="str" cm="1">
        <f t="array" ref="K109">INDEX(_xlfn.TEXTSPLIT(TRIM(Table5[[#This Row],[datasetIdentifier]]), "_"), COLUMNS(_xlfn.TEXTSPLIT(TRIM(Table5[[#This Row],[datasetIdentifier]]), "_")) - 2)</f>
        <v>10m</v>
      </c>
    </row>
    <row r="110" spans="1:11">
      <c r="A110" s="2">
        <f t="shared" si="1"/>
        <v>109</v>
      </c>
      <c r="B110" s="6">
        <v>106</v>
      </c>
      <c r="C110" s="2" t="s">
        <v>323</v>
      </c>
      <c r="D110" s="1" t="s">
        <v>180</v>
      </c>
      <c r="E110" s="1" t="s">
        <v>332</v>
      </c>
      <c r="F110" s="1" t="s">
        <v>378</v>
      </c>
      <c r="G110" s="1" t="s">
        <v>379</v>
      </c>
      <c r="H110" t="str">
        <f>IFERROR(VLOOKUP(Table5[[#This Row],[current WEkEO dataset]],WEkEO[],2,FALSE),"-")&amp;" / "&amp;IFERROR(VLOOKUP(Table5[[#This Row],[current WEkEO dataset]],WEkEO[],3,FALSE),"-")</f>
        <v>EO:EEA:DAT:HRL:GRA / Grassland Change Confidence Layer</v>
      </c>
      <c r="I110" s="1" t="s">
        <v>380</v>
      </c>
      <c r="J110" s="17" t="s">
        <v>160</v>
      </c>
      <c r="K110" s="1" t="str" cm="1">
        <f t="array" ref="K110">INDEX(_xlfn.TEXTSPLIT(TRIM(Table5[[#This Row],[datasetIdentifier]]), "_"), COLUMNS(_xlfn.TEXTSPLIT(TRIM(Table5[[#This Row],[datasetIdentifier]]), "_")) - 2)</f>
        <v>20m</v>
      </c>
    </row>
    <row r="111" spans="1:11">
      <c r="A111" s="2">
        <f t="shared" si="1"/>
        <v>110</v>
      </c>
      <c r="B111" s="6">
        <v>105</v>
      </c>
      <c r="C111" s="2" t="s">
        <v>323</v>
      </c>
      <c r="D111" s="1" t="s">
        <v>180</v>
      </c>
      <c r="E111" s="1" t="s">
        <v>332</v>
      </c>
      <c r="F111" s="1" t="s">
        <v>378</v>
      </c>
      <c r="G111" s="1" t="s">
        <v>381</v>
      </c>
      <c r="H111" t="str">
        <f>IFERROR(VLOOKUP(Table5[[#This Row],[current WEkEO dataset]],WEkEO[],2,FALSE),"-")&amp;" / "&amp;IFERROR(VLOOKUP(Table5[[#This Row],[current WEkEO dataset]],WEkEO[],3,FALSE),"-")</f>
        <v>EO:EEA:DAT:HRL:GRA / Grassland Change</v>
      </c>
      <c r="I111" s="1" t="s">
        <v>380</v>
      </c>
      <c r="J111" s="17" t="s">
        <v>115</v>
      </c>
      <c r="K111" s="17" t="str" cm="1">
        <f t="array" ref="K111">INDEX(_xlfn.TEXTSPLIT(TRIM(Table5[[#This Row],[datasetIdentifier]]), "_"), COLUMNS(_xlfn.TEXTSPLIT(TRIM(Table5[[#This Row],[datasetIdentifier]]), "_")) - 2)</f>
        <v>20m</v>
      </c>
    </row>
    <row r="112" spans="1:11">
      <c r="A112" s="2">
        <f t="shared" si="1"/>
        <v>111</v>
      </c>
      <c r="B112" s="6">
        <v>107</v>
      </c>
      <c r="C112" s="2" t="s">
        <v>323</v>
      </c>
      <c r="D112" s="1" t="s">
        <v>180</v>
      </c>
      <c r="E112" s="1" t="s">
        <v>332</v>
      </c>
      <c r="F112" s="1" t="s">
        <v>378</v>
      </c>
      <c r="G112" s="1" t="s">
        <v>382</v>
      </c>
      <c r="H112" t="str">
        <f>IFERROR(VLOOKUP(Table5[[#This Row],[current WEkEO dataset]],WEkEO[],2,FALSE),"-")&amp;" / "&amp;IFERROR(VLOOKUP(Table5[[#This Row],[current WEkEO dataset]],WEkEO[],3,FALSE),"-")</f>
        <v>EO:EEA:DAT:HRL:GRA / Grassland Confidence Layer</v>
      </c>
      <c r="I112" s="1" t="s">
        <v>380</v>
      </c>
      <c r="J112" s="17" t="s">
        <v>85</v>
      </c>
      <c r="K112" s="17" t="str" cm="1">
        <f t="array" ref="K112">INDEX(_xlfn.TEXTSPLIT(TRIM(Table5[[#This Row],[datasetIdentifier]]), "_"), COLUMNS(_xlfn.TEXTSPLIT(TRIM(Table5[[#This Row],[datasetIdentifier]]), "_")) - 2)</f>
        <v>10m</v>
      </c>
    </row>
    <row r="113" spans="1:12">
      <c r="A113" s="2">
        <f t="shared" si="1"/>
        <v>112</v>
      </c>
      <c r="B113" s="6">
        <v>101</v>
      </c>
      <c r="C113" s="2" t="s">
        <v>323</v>
      </c>
      <c r="D113" s="1" t="s">
        <v>180</v>
      </c>
      <c r="E113" s="1" t="s">
        <v>332</v>
      </c>
      <c r="F113" s="1" t="s">
        <v>378</v>
      </c>
      <c r="G113" s="1" t="s">
        <v>383</v>
      </c>
      <c r="H113" t="str">
        <f>IFERROR(VLOOKUP(Table5[[#This Row],[current WEkEO dataset]],WEkEO[],2,FALSE),"-")&amp;" / "&amp;IFERROR(VLOOKUP(Table5[[#This Row],[current WEkEO dataset]],WEkEO[],3,FALSE),"-")</f>
        <v>EO:EEA:DAT:HRL:GRA / Grassland</v>
      </c>
      <c r="I113" s="1" t="s">
        <v>380</v>
      </c>
      <c r="J113" s="17" t="s">
        <v>85</v>
      </c>
      <c r="K113" s="17" t="str" cm="1">
        <f t="array" ref="K113">INDEX(_xlfn.TEXTSPLIT(TRIM(Table5[[#This Row],[datasetIdentifier]]), "_"), COLUMNS(_xlfn.TEXTSPLIT(TRIM(Table5[[#This Row],[datasetIdentifier]]), "_")) - 2)</f>
        <v>100m</v>
      </c>
    </row>
    <row r="114" spans="1:12">
      <c r="A114" s="2">
        <f t="shared" si="1"/>
        <v>113</v>
      </c>
      <c r="B114" s="6">
        <v>100</v>
      </c>
      <c r="C114" s="2" t="s">
        <v>323</v>
      </c>
      <c r="D114" s="1" t="s">
        <v>180</v>
      </c>
      <c r="E114" s="1" t="s">
        <v>332</v>
      </c>
      <c r="F114" s="1" t="s">
        <v>378</v>
      </c>
      <c r="G114" s="1" t="s">
        <v>384</v>
      </c>
      <c r="H114" t="str">
        <f>IFERROR(VLOOKUP(Table5[[#This Row],[current WEkEO dataset]],WEkEO[],2,FALSE),"-")&amp;" / "&amp;IFERROR(VLOOKUP(Table5[[#This Row],[current WEkEO dataset]],WEkEO[],3,FALSE),"-")</f>
        <v>EO:EEA:DAT:HRL:GRA / Grassland</v>
      </c>
      <c r="I114" s="1" t="s">
        <v>380</v>
      </c>
      <c r="J114" s="17" t="s">
        <v>85</v>
      </c>
      <c r="K114" s="17" t="str" cm="1">
        <f t="array" ref="K114">INDEX(_xlfn.TEXTSPLIT(TRIM(Table5[[#This Row],[datasetIdentifier]]), "_"), COLUMNS(_xlfn.TEXTSPLIT(TRIM(Table5[[#This Row],[datasetIdentifier]]), "_")) - 2)</f>
        <v>10m</v>
      </c>
    </row>
    <row r="115" spans="1:12">
      <c r="A115" s="2">
        <f t="shared" si="1"/>
        <v>114</v>
      </c>
      <c r="B115" s="6">
        <v>111</v>
      </c>
      <c r="C115" s="2" t="s">
        <v>323</v>
      </c>
      <c r="D115" s="1" t="s">
        <v>180</v>
      </c>
      <c r="E115" s="1" t="s">
        <v>332</v>
      </c>
      <c r="F115" s="1" t="s">
        <v>378</v>
      </c>
      <c r="G115" s="1" t="s">
        <v>385</v>
      </c>
      <c r="H115" t="str">
        <f>IFERROR(VLOOKUP(Table5[[#This Row],[current WEkEO dataset]],WEkEO[],2,FALSE),"-")&amp;" / "&amp;IFERROR(VLOOKUP(Table5[[#This Row],[current WEkEO dataset]],WEkEO[],3,FALSE),"-")</f>
        <v>EO:EEA:DAT:HRL:GRA / Herbaceous Cover</v>
      </c>
      <c r="I115" s="1" t="s">
        <v>380</v>
      </c>
      <c r="J115" s="17" t="s">
        <v>85</v>
      </c>
      <c r="K115" s="17" t="str" cm="1">
        <f t="array" ref="K115">INDEX(_xlfn.TEXTSPLIT(TRIM(Table5[[#This Row],[datasetIdentifier]]), "_"), COLUMNS(_xlfn.TEXTSPLIT(TRIM(Table5[[#This Row],[datasetIdentifier]]), "_")) - 2)</f>
        <v>10m</v>
      </c>
    </row>
    <row r="116" spans="1:12">
      <c r="A116" s="2">
        <f t="shared" si="1"/>
        <v>115</v>
      </c>
      <c r="B116" s="6">
        <v>112</v>
      </c>
      <c r="C116" s="2" t="s">
        <v>323</v>
      </c>
      <c r="D116" s="1" t="s">
        <v>180</v>
      </c>
      <c r="E116" s="1" t="s">
        <v>332</v>
      </c>
      <c r="F116" s="1" t="s">
        <v>378</v>
      </c>
      <c r="G116" s="1" t="s">
        <v>386</v>
      </c>
      <c r="H116" t="str">
        <f>IFERROR(VLOOKUP(Table5[[#This Row],[current WEkEO dataset]],WEkEO[],2,FALSE),"-")&amp;" / "&amp;IFERROR(VLOOKUP(Table5[[#This Row],[current WEkEO dataset]],WEkEO[],3,FALSE),"-")</f>
        <v>EO:EEA:DAT:HRL:GRA / Ploughing Indicator</v>
      </c>
      <c r="I116" s="1" t="s">
        <v>380</v>
      </c>
      <c r="J116" s="17" t="s">
        <v>85</v>
      </c>
      <c r="K116" s="17" t="str" cm="1">
        <f t="array" ref="K116">INDEX(_xlfn.TEXTSPLIT(TRIM(Table5[[#This Row],[datasetIdentifier]]), "_"), COLUMNS(_xlfn.TEXTSPLIT(TRIM(Table5[[#This Row],[datasetIdentifier]]), "_")) - 2)</f>
        <v>10m</v>
      </c>
    </row>
    <row r="117" spans="1:12">
      <c r="A117" s="2">
        <f t="shared" si="1"/>
        <v>116</v>
      </c>
      <c r="B117" s="6">
        <v>110</v>
      </c>
      <c r="C117" s="2" t="s">
        <v>323</v>
      </c>
      <c r="D117" s="1" t="s">
        <v>180</v>
      </c>
      <c r="E117" s="1" t="s">
        <v>332</v>
      </c>
      <c r="F117" s="1" t="s">
        <v>387</v>
      </c>
      <c r="G117" s="1" t="s">
        <v>388</v>
      </c>
      <c r="H117" t="str">
        <f>IFERROR(VLOOKUP(Table5[[#This Row],[current WEkEO dataset]],WEkEO[],2,FALSE),"-")&amp;" / "&amp;IFERROR(VLOOKUP(Table5[[#This Row],[current WEkEO dataset]],WEkEO[],3,FALSE),"-")</f>
        <v>EO:EEA:DAT:HRL:GRA / Grassland Mowing Events Confidence Layer</v>
      </c>
      <c r="I117" s="1" t="s">
        <v>389</v>
      </c>
      <c r="J117" s="17" t="s">
        <v>85</v>
      </c>
      <c r="K117" s="17" t="str" cm="1">
        <f t="array" ref="K117">INDEX(_xlfn.TEXTSPLIT(TRIM(Table5[[#This Row],[datasetIdentifier]]), "_"), COLUMNS(_xlfn.TEXTSPLIT(TRIM(Table5[[#This Row],[datasetIdentifier]]), "_")) - 2)</f>
        <v>10m</v>
      </c>
    </row>
    <row r="118" spans="1:12">
      <c r="A118" s="2">
        <f t="shared" si="1"/>
        <v>117</v>
      </c>
      <c r="B118" s="6">
        <v>109</v>
      </c>
      <c r="C118" s="2" t="s">
        <v>323</v>
      </c>
      <c r="D118" s="1" t="s">
        <v>180</v>
      </c>
      <c r="E118" s="1" t="s">
        <v>332</v>
      </c>
      <c r="F118" s="1" t="s">
        <v>387</v>
      </c>
      <c r="G118" s="1" t="s">
        <v>390</v>
      </c>
      <c r="H118" t="str">
        <f>IFERROR(VLOOKUP(Table5[[#This Row],[current WEkEO dataset]],WEkEO[],2,FALSE),"-")&amp;" / "&amp;IFERROR(VLOOKUP(Table5[[#This Row],[current WEkEO dataset]],WEkEO[],3,FALSE),"-")</f>
        <v>EO:EEA:DAT:HRL:GRA / Grassland Mowing Events</v>
      </c>
      <c r="I118" s="1" t="s">
        <v>389</v>
      </c>
      <c r="J118" s="17" t="s">
        <v>85</v>
      </c>
      <c r="K118" s="17" t="str" cm="1">
        <f t="array" ref="K118">INDEX(_xlfn.TEXTSPLIT(TRIM(Table5[[#This Row],[datasetIdentifier]]), "_"), COLUMNS(_xlfn.TEXTSPLIT(TRIM(Table5[[#This Row],[datasetIdentifier]]), "_")) - 2)</f>
        <v>10m</v>
      </c>
    </row>
    <row r="119" spans="1:12">
      <c r="A119" s="2">
        <f t="shared" si="1"/>
        <v>118</v>
      </c>
      <c r="B119" s="6">
        <v>108</v>
      </c>
      <c r="C119" s="2" t="s">
        <v>323</v>
      </c>
      <c r="D119" s="1" t="s">
        <v>180</v>
      </c>
      <c r="E119" s="1" t="s">
        <v>332</v>
      </c>
      <c r="F119" s="1" t="s">
        <v>387</v>
      </c>
      <c r="G119" s="16" t="s">
        <v>391</v>
      </c>
      <c r="H119" t="str">
        <f>IFERROR(VLOOKUP(Table5[[#This Row],[current WEkEO dataset]],WEkEO[],2,FALSE),"-")&amp;" / "&amp;IFERROR(VLOOKUP(Table5[[#This Row],[current WEkEO dataset]],WEkEO[],3,FALSE),"-")</f>
        <v>EO:EEA:DAT:HRL:GRA / Grassland Mowing Dates (4 Dates per Year)</v>
      </c>
      <c r="I119" s="1" t="s">
        <v>389</v>
      </c>
      <c r="J119" s="17" t="s">
        <v>85</v>
      </c>
      <c r="K119" s="17" t="str" cm="1">
        <f t="array" ref="K119">INDEX(_xlfn.TEXTSPLIT(TRIM(Table5[[#This Row],[datasetIdentifier]]), "_"), COLUMNS(_xlfn.TEXTSPLIT(TRIM(Table5[[#This Row],[datasetIdentifier]]), "_")) - 2)</f>
        <v>10m</v>
      </c>
    </row>
    <row r="120" spans="1:12">
      <c r="A120" s="2">
        <f t="shared" si="1"/>
        <v>119</v>
      </c>
      <c r="B120" s="6">
        <v>172</v>
      </c>
      <c r="C120" s="2" t="s">
        <v>323</v>
      </c>
      <c r="D120" s="1" t="s">
        <v>180</v>
      </c>
      <c r="E120" s="1" t="s">
        <v>332</v>
      </c>
      <c r="F120" s="1" t="s">
        <v>392</v>
      </c>
      <c r="G120" s="1" t="s">
        <v>393</v>
      </c>
      <c r="H120" t="str">
        <f>IFERROR(VLOOKUP(Table5[[#This Row],[current WEkEO dataset]],WEkEO[],2,FALSE),"-")&amp;" / "&amp;IFERROR(VLOOKUP(Table5[[#This Row],[current WEkEO dataset]],WEkEO[],3,FALSE),"-")</f>
        <v>EO:EEA:DAT:HRL:TCF / Tree Cover Density Confidence Layer</v>
      </c>
      <c r="I120" s="1" t="s">
        <v>394</v>
      </c>
      <c r="J120" s="20" t="s">
        <v>153</v>
      </c>
      <c r="K120" s="17" t="str" cm="1">
        <f t="array" ref="K120">INDEX(_xlfn.TEXTSPLIT(TRIM(Table5[[#This Row],[datasetIdentifier]]), "_"), COLUMNS(_xlfn.TEXTSPLIT(TRIM(Table5[[#This Row],[datasetIdentifier]]), "_")) - 2)</f>
        <v>10m</v>
      </c>
    </row>
    <row r="121" spans="1:12">
      <c r="A121" s="2">
        <f t="shared" si="1"/>
        <v>120</v>
      </c>
      <c r="B121" s="6">
        <v>169</v>
      </c>
      <c r="C121" s="2" t="s">
        <v>323</v>
      </c>
      <c r="D121" s="1" t="s">
        <v>180</v>
      </c>
      <c r="E121" s="1" t="s">
        <v>332</v>
      </c>
      <c r="F121" s="1" t="s">
        <v>392</v>
      </c>
      <c r="G121" s="1" t="s">
        <v>395</v>
      </c>
      <c r="H121" t="str">
        <f>IFERROR(VLOOKUP(Table5[[#This Row],[current WEkEO dataset]],WEkEO[],2,FALSE),"-")&amp;" / "&amp;IFERROR(VLOOKUP(Table5[[#This Row],[current WEkEO dataset]],WEkEO[],3,FALSE),"-")</f>
        <v>EO:EEA:DAT:HRL:TCF / Tree Cover Density</v>
      </c>
      <c r="I121" s="1" t="s">
        <v>394</v>
      </c>
      <c r="J121" s="20" t="s">
        <v>153</v>
      </c>
      <c r="K121" s="17" t="str" cm="1">
        <f t="array" ref="K121">INDEX(_xlfn.TEXTSPLIT(TRIM(Table5[[#This Row],[datasetIdentifier]]), "_"), COLUMNS(_xlfn.TEXTSPLIT(TRIM(Table5[[#This Row],[datasetIdentifier]]), "_")) - 2)</f>
        <v>100m</v>
      </c>
    </row>
    <row r="122" spans="1:12">
      <c r="A122" s="2">
        <f t="shared" si="1"/>
        <v>121</v>
      </c>
      <c r="B122" s="6">
        <v>171</v>
      </c>
      <c r="C122" s="2" t="s">
        <v>323</v>
      </c>
      <c r="D122" s="1" t="s">
        <v>180</v>
      </c>
      <c r="E122" s="1" t="s">
        <v>332</v>
      </c>
      <c r="F122" s="1" t="s">
        <v>392</v>
      </c>
      <c r="G122" s="1" t="s">
        <v>396</v>
      </c>
      <c r="H122" t="str">
        <f>IFERROR(VLOOKUP(Table5[[#This Row],[current WEkEO dataset]],WEkEO[],2,FALSE),"-")&amp;" / "&amp;IFERROR(VLOOKUP(Table5[[#This Row],[current WEkEO dataset]],WEkEO[],3,FALSE),"-")</f>
        <v>EO:EEA:DAT:HRL:TCF / Tree Cover Density</v>
      </c>
      <c r="I122" s="1" t="s">
        <v>394</v>
      </c>
      <c r="J122" s="20" t="s">
        <v>153</v>
      </c>
      <c r="K122" s="17" t="str" cm="1">
        <f t="array" ref="K122">INDEX(_xlfn.TEXTSPLIT(TRIM(Table5[[#This Row],[datasetIdentifier]]), "_"), COLUMNS(_xlfn.TEXTSPLIT(TRIM(Table5[[#This Row],[datasetIdentifier]]), "_")) - 2)</f>
        <v>10m</v>
      </c>
    </row>
    <row r="123" spans="1:12">
      <c r="A123" s="2">
        <f t="shared" si="1"/>
        <v>122</v>
      </c>
      <c r="B123" s="6">
        <v>174</v>
      </c>
      <c r="C123" s="2" t="s">
        <v>323</v>
      </c>
      <c r="D123" s="1" t="s">
        <v>180</v>
      </c>
      <c r="E123" s="1" t="s">
        <v>332</v>
      </c>
      <c r="F123" s="1" t="s">
        <v>392</v>
      </c>
      <c r="G123" s="1" t="s">
        <v>397</v>
      </c>
      <c r="H123" t="str">
        <f>IFERROR(VLOOKUP(Table5[[#This Row],[current WEkEO dataset]],WEkEO[],2,FALSE),"-")&amp;" / "&amp;IFERROR(VLOOKUP(Table5[[#This Row],[current WEkEO dataset]],WEkEO[],3,FALSE),"-")</f>
        <v>EO:EEA:DAT:HRL:TCF / Tree Cover Presence Change Confidence Layer</v>
      </c>
      <c r="I123" s="1" t="s">
        <v>394</v>
      </c>
      <c r="J123" s="17" t="s">
        <v>115</v>
      </c>
      <c r="K123" s="17" t="str" cm="1">
        <f t="array" ref="K123">INDEX(_xlfn.TEXTSPLIT(TRIM(Table5[[#This Row],[datasetIdentifier]]), "_"), COLUMNS(_xlfn.TEXTSPLIT(TRIM(Table5[[#This Row],[datasetIdentifier]]), "_")) - 2)</f>
        <v>20m</v>
      </c>
    </row>
    <row r="124" spans="1:12">
      <c r="A124" s="2">
        <f t="shared" si="1"/>
        <v>123</v>
      </c>
      <c r="B124" s="6">
        <v>173</v>
      </c>
      <c r="C124" s="2" t="s">
        <v>323</v>
      </c>
      <c r="D124" s="1" t="s">
        <v>180</v>
      </c>
      <c r="E124" s="1" t="s">
        <v>332</v>
      </c>
      <c r="F124" s="1" t="s">
        <v>392</v>
      </c>
      <c r="G124" s="1" t="s">
        <v>398</v>
      </c>
      <c r="H124" t="str">
        <f>IFERROR(VLOOKUP(Table5[[#This Row],[current WEkEO dataset]],WEkEO[],2,FALSE),"-")&amp;" / "&amp;IFERROR(VLOOKUP(Table5[[#This Row],[current WEkEO dataset]],WEkEO[],3,FALSE),"-")</f>
        <v>EO:EEA:DAT:HRL:TCF / Tree Cover Presence Change</v>
      </c>
      <c r="I124" s="1" t="s">
        <v>394</v>
      </c>
      <c r="J124" s="17" t="s">
        <v>115</v>
      </c>
      <c r="K124" s="17" t="str" cm="1">
        <f t="array" ref="K124">INDEX(_xlfn.TEXTSPLIT(TRIM(Table5[[#This Row],[datasetIdentifier]]), "_"), COLUMNS(_xlfn.TEXTSPLIT(TRIM(Table5[[#This Row],[datasetIdentifier]]), "_")) - 2)</f>
        <v>20m</v>
      </c>
    </row>
    <row r="125" spans="1:12">
      <c r="A125" s="2">
        <f t="shared" si="1"/>
        <v>124</v>
      </c>
      <c r="B125" s="6"/>
      <c r="C125" s="2" t="s">
        <v>323</v>
      </c>
      <c r="D125" s="1" t="s">
        <v>180</v>
      </c>
      <c r="E125" s="1" t="s">
        <v>324</v>
      </c>
      <c r="F125" s="1" t="s">
        <v>325</v>
      </c>
      <c r="G125" s="1" t="s">
        <v>399</v>
      </c>
      <c r="H125" s="16" t="str">
        <f>IFERROR(VLOOKUP(Table5[[#This Row],[current WEkEO dataset]],WEkEO[],2,FALSE),"-")&amp;" / "&amp;IFERROR(VLOOKUP(Table5[[#This Row],[current WEkEO dataset]],WEkEO[],3,FALSE),"-")</f>
        <v>- / -</v>
      </c>
      <c r="I125" s="1" t="s">
        <v>327</v>
      </c>
      <c r="J125" s="19">
        <v>2021</v>
      </c>
      <c r="K125" s="17" t="str" cm="1">
        <f t="array" ref="K125">INDEX(_xlfn.TEXTSPLIT(TRIM(Table5[[#This Row],[datasetIdentifier]]), "_"), COLUMNS(_xlfn.TEXTSPLIT(TRIM(Table5[[#This Row],[datasetIdentifier]]), "_")) - 2)</f>
        <v>10m</v>
      </c>
      <c r="L125" s="1" t="s">
        <v>331</v>
      </c>
    </row>
    <row r="126" spans="1:12">
      <c r="A126" s="2">
        <f t="shared" si="1"/>
        <v>125</v>
      </c>
      <c r="B126" s="6">
        <v>178</v>
      </c>
      <c r="C126" s="2" t="s">
        <v>179</v>
      </c>
      <c r="D126" s="1" t="s">
        <v>180</v>
      </c>
      <c r="E126" s="1" t="s">
        <v>181</v>
      </c>
      <c r="F126" s="1" t="s">
        <v>223</v>
      </c>
      <c r="G126" t="s">
        <v>400</v>
      </c>
      <c r="H126" s="16" t="str">
        <f>IFERROR(VLOOKUP(Table5[[#This Row],[current WEkEO dataset]],WEkEO[],2,FALSE),"-")&amp;" / "&amp;IFERROR(VLOOKUP(Table5[[#This Row],[current WEkEO dataset]],WEkEO[],3,FALSE),"-")</f>
        <v>- / -</v>
      </c>
      <c r="I126" s="1" t="s">
        <v>401</v>
      </c>
      <c r="J126" s="20" t="s">
        <v>258</v>
      </c>
      <c r="K126" s="1" t="str" cm="1">
        <f t="array" ref="K126">INDEX(_xlfn.TEXTSPLIT(TRIM(Table5[[#This Row],[datasetIdentifier]]), "_"), COLUMNS(_xlfn.TEXTSPLIT(TRIM(Table5[[#This Row],[datasetIdentifier]]), "_")) - 2)</f>
        <v>3km</v>
      </c>
    </row>
    <row r="127" spans="1:12">
      <c r="A127" s="2">
        <f t="shared" si="1"/>
        <v>126</v>
      </c>
      <c r="B127" s="6">
        <v>178</v>
      </c>
      <c r="C127" s="2" t="s">
        <v>179</v>
      </c>
      <c r="D127" s="1" t="s">
        <v>180</v>
      </c>
      <c r="E127" s="1" t="s">
        <v>181</v>
      </c>
      <c r="F127" s="1" t="s">
        <v>223</v>
      </c>
      <c r="G127" t="s">
        <v>402</v>
      </c>
      <c r="H127" s="16" t="str">
        <f>IFERROR(VLOOKUP(Table5[[#This Row],[current WEkEO dataset]],WEkEO[],2,FALSE),"-")&amp;" / "&amp;IFERROR(VLOOKUP(Table5[[#This Row],[current WEkEO dataset]],WEkEO[],3,FALSE),"-")</f>
        <v>- / -</v>
      </c>
      <c r="I127" s="1" t="s">
        <v>401</v>
      </c>
      <c r="J127" s="20" t="s">
        <v>258</v>
      </c>
      <c r="K127" s="1" t="str" cm="1">
        <f t="array" ref="K127">INDEX(_xlfn.TEXTSPLIT(TRIM(Table5[[#This Row],[datasetIdentifier]]), "_"), COLUMNS(_xlfn.TEXTSPLIT(TRIM(Table5[[#This Row],[datasetIdentifier]]), "_")) - 2)</f>
        <v>3km</v>
      </c>
    </row>
    <row r="128" spans="1:12">
      <c r="A128" s="2">
        <f t="shared" si="1"/>
        <v>127</v>
      </c>
      <c r="B128" s="6">
        <v>178</v>
      </c>
      <c r="C128" s="2" t="s">
        <v>179</v>
      </c>
      <c r="D128" s="1" t="s">
        <v>180</v>
      </c>
      <c r="E128" s="1" t="s">
        <v>181</v>
      </c>
      <c r="F128" s="1" t="s">
        <v>264</v>
      </c>
      <c r="G128" t="s">
        <v>403</v>
      </c>
      <c r="H128" s="16" t="str">
        <f>IFERROR(VLOOKUP(Table5[[#This Row],[current WEkEO dataset]],WEkEO[],2,FALSE),"-")&amp;" / "&amp;IFERROR(VLOOKUP(Table5[[#This Row],[current WEkEO dataset]],WEkEO[],3,FALSE),"-")</f>
        <v>- / -</v>
      </c>
      <c r="I128" s="1" t="s">
        <v>404</v>
      </c>
      <c r="J128" s="8">
        <v>2025</v>
      </c>
      <c r="K128" s="1" t="str" cm="1">
        <f t="array" ref="K128">INDEX(_xlfn.TEXTSPLIT(TRIM(Table5[[#This Row],[datasetIdentifier]]), "_"), COLUMNS(_xlfn.TEXTSPLIT(TRIM(Table5[[#This Row],[datasetIdentifier]]), "_")) - 2)</f>
        <v>12.5km</v>
      </c>
    </row>
    <row r="129" spans="1:12">
      <c r="A129" s="2">
        <f t="shared" si="1"/>
        <v>128</v>
      </c>
      <c r="B129" s="6">
        <v>178</v>
      </c>
      <c r="C129" s="2" t="s">
        <v>179</v>
      </c>
      <c r="D129" s="1" t="s">
        <v>180</v>
      </c>
      <c r="E129" s="1" t="s">
        <v>181</v>
      </c>
      <c r="F129" s="1" t="s">
        <v>214</v>
      </c>
      <c r="G129" s="21" t="s">
        <v>405</v>
      </c>
      <c r="H129" s="16" t="str">
        <f>IFERROR(VLOOKUP(Table5[[#This Row],[current WEkEO dataset]],WEkEO[],2,FALSE),"-")&amp;" / "&amp;IFERROR(VLOOKUP(Table5[[#This Row],[current WEkEO dataset]],WEkEO[],3,FALSE),"-")</f>
        <v>- / -</v>
      </c>
      <c r="I129" s="1" t="s">
        <v>406</v>
      </c>
      <c r="J129" s="1" t="s">
        <v>407</v>
      </c>
      <c r="K129" s="1" t="str" cm="1">
        <f t="array" ref="K129">INDEX(_xlfn.TEXTSPLIT(TRIM(Table5[[#This Row],[datasetIdentifier]]), "_"), COLUMNS(_xlfn.TEXTSPLIT(TRIM(Table5[[#This Row],[datasetIdentifier]]), "_")) - 2)</f>
        <v>1km</v>
      </c>
    </row>
    <row r="130" spans="1:12" ht="29.25">
      <c r="A130" s="2">
        <f t="shared" si="1"/>
        <v>129</v>
      </c>
      <c r="B130" s="6">
        <v>178</v>
      </c>
      <c r="C130" s="2" t="s">
        <v>179</v>
      </c>
      <c r="D130" s="1" t="s">
        <v>180</v>
      </c>
      <c r="E130" s="1" t="s">
        <v>181</v>
      </c>
      <c r="F130" s="1" t="s">
        <v>214</v>
      </c>
      <c r="G130" s="21" t="s">
        <v>408</v>
      </c>
      <c r="H130" s="16" t="str">
        <f>IFERROR(VLOOKUP(Table5[[#This Row],[current WEkEO dataset]],WEkEO[],2,FALSE),"-")&amp;" / "&amp;IFERROR(VLOOKUP(Table5[[#This Row],[current WEkEO dataset]],WEkEO[],3,FALSE),"-")</f>
        <v>- / -</v>
      </c>
      <c r="I130" s="1" t="s">
        <v>406</v>
      </c>
      <c r="J130" s="22" t="s">
        <v>213</v>
      </c>
      <c r="K130" s="1" t="str" cm="1">
        <f t="array" ref="K130">INDEX(_xlfn.TEXTSPLIT(TRIM(Table5[[#This Row],[datasetIdentifier]]), "_"), COLUMNS(_xlfn.TEXTSPLIT(TRIM(Table5[[#This Row],[datasetIdentifier]]), "_")) - 2)</f>
        <v>1km</v>
      </c>
    </row>
    <row r="131" spans="1:12">
      <c r="A131" s="2">
        <f t="shared" si="1"/>
        <v>130</v>
      </c>
      <c r="B131" s="6">
        <v>178</v>
      </c>
      <c r="C131" s="2" t="s">
        <v>179</v>
      </c>
      <c r="D131" s="1" t="s">
        <v>180</v>
      </c>
      <c r="E131" s="1" t="s">
        <v>181</v>
      </c>
      <c r="F131" s="1" t="s">
        <v>223</v>
      </c>
      <c r="G131" s="21" t="s">
        <v>409</v>
      </c>
      <c r="H131" s="16" t="str">
        <f>IFERROR(VLOOKUP(Table5[[#This Row],[current WEkEO dataset]],WEkEO[],2,FALSE),"-")&amp;" / "&amp;IFERROR(VLOOKUP(Table5[[#This Row],[current WEkEO dataset]],WEkEO[],3,FALSE),"-")</f>
        <v>- / -</v>
      </c>
      <c r="I131" s="1" t="s">
        <v>401</v>
      </c>
      <c r="J131" s="8">
        <v>2018</v>
      </c>
      <c r="K131" s="1" t="str" cm="1">
        <f t="array" ref="K131">INDEX(_xlfn.TEXTSPLIT(TRIM(Table5[[#This Row],[datasetIdentifier]]), "_"), COLUMNS(_xlfn.TEXTSPLIT(TRIM(Table5[[#This Row],[datasetIdentifier]]), "_")) - 2)</f>
        <v>5km</v>
      </c>
    </row>
    <row r="132" spans="1:12">
      <c r="A132" s="2">
        <f t="shared" ref="A132:A148" si="2">A131+1</f>
        <v>131</v>
      </c>
      <c r="B132" s="6">
        <v>178</v>
      </c>
      <c r="C132" s="2" t="s">
        <v>179</v>
      </c>
      <c r="D132" s="1" t="s">
        <v>180</v>
      </c>
      <c r="E132" s="1" t="s">
        <v>181</v>
      </c>
      <c r="F132" s="1" t="s">
        <v>223</v>
      </c>
      <c r="G132" s="21" t="s">
        <v>410</v>
      </c>
      <c r="H132" s="16" t="str">
        <f>IFERROR(VLOOKUP(Table5[[#This Row],[current WEkEO dataset]],WEkEO[],2,FALSE),"-")&amp;" / "&amp;IFERROR(VLOOKUP(Table5[[#This Row],[current WEkEO dataset]],WEkEO[],3,FALSE),"-")</f>
        <v>- / -</v>
      </c>
      <c r="I132" s="1" t="s">
        <v>401</v>
      </c>
      <c r="J132" s="8">
        <v>2018</v>
      </c>
      <c r="K132" s="1" t="str" cm="1">
        <f t="array" ref="K132">INDEX(_xlfn.TEXTSPLIT(TRIM(Table5[[#This Row],[datasetIdentifier]]), "_"), COLUMNS(_xlfn.TEXTSPLIT(TRIM(Table5[[#This Row],[datasetIdentifier]]), "_")) - 2)</f>
        <v>5km</v>
      </c>
    </row>
    <row r="133" spans="1:12">
      <c r="A133" s="2">
        <f t="shared" si="2"/>
        <v>132</v>
      </c>
      <c r="B133" s="6">
        <v>178</v>
      </c>
      <c r="C133" s="2" t="s">
        <v>179</v>
      </c>
      <c r="D133" s="1" t="s">
        <v>180</v>
      </c>
      <c r="E133" s="1" t="s">
        <v>181</v>
      </c>
      <c r="F133" s="1" t="s">
        <v>223</v>
      </c>
      <c r="G133" s="21" t="s">
        <v>411</v>
      </c>
      <c r="H133" s="16" t="str">
        <f>IFERROR(VLOOKUP(Table5[[#This Row],[current WEkEO dataset]],WEkEO[],2,FALSE),"-")&amp;" / "&amp;IFERROR(VLOOKUP(Table5[[#This Row],[current WEkEO dataset]],WEkEO[],3,FALSE),"-")</f>
        <v>- / -</v>
      </c>
      <c r="I133" s="1" t="s">
        <v>401</v>
      </c>
      <c r="J133" s="20" t="s">
        <v>258</v>
      </c>
      <c r="K133" s="1" t="str" cm="1">
        <f t="array" ref="K133">INDEX(_xlfn.TEXTSPLIT(TRIM(Table5[[#This Row],[datasetIdentifier]]), "_"), COLUMNS(_xlfn.TEXTSPLIT(TRIM(Table5[[#This Row],[datasetIdentifier]]), "_")) - 2)</f>
        <v>3km</v>
      </c>
    </row>
    <row r="134" spans="1:12">
      <c r="A134" s="2">
        <f t="shared" si="2"/>
        <v>133</v>
      </c>
      <c r="B134" s="6">
        <v>178</v>
      </c>
      <c r="C134" s="2" t="s">
        <v>179</v>
      </c>
      <c r="D134" s="1" t="s">
        <v>180</v>
      </c>
      <c r="E134" s="1" t="s">
        <v>181</v>
      </c>
      <c r="F134" s="1" t="s">
        <v>223</v>
      </c>
      <c r="G134" s="21" t="s">
        <v>209</v>
      </c>
      <c r="H134" s="16" t="str">
        <f>IFERROR(VLOOKUP(Table5[[#This Row],[current WEkEO dataset]],WEkEO[],2,FALSE),"-")&amp;" / "&amp;IFERROR(VLOOKUP(Table5[[#This Row],[current WEkEO dataset]],WEkEO[],3,FALSE),"-")</f>
        <v>- / -</v>
      </c>
      <c r="I134" s="1" t="s">
        <v>401</v>
      </c>
      <c r="J134" s="8">
        <v>2025</v>
      </c>
      <c r="K134" s="1" t="str" cm="1">
        <f t="array" ref="K134">INDEX(_xlfn.TEXTSPLIT(TRIM(Table5[[#This Row],[datasetIdentifier]]), "_"), COLUMNS(_xlfn.TEXTSPLIT(TRIM(Table5[[#This Row],[datasetIdentifier]]), "_")) - 2)</f>
        <v>1km</v>
      </c>
    </row>
    <row r="135" spans="1:12" ht="43.5">
      <c r="A135" s="2">
        <f t="shared" si="2"/>
        <v>134</v>
      </c>
      <c r="B135" s="6">
        <v>178</v>
      </c>
      <c r="C135" s="2" t="s">
        <v>179</v>
      </c>
      <c r="D135" s="1" t="s">
        <v>180</v>
      </c>
      <c r="E135" s="1" t="s">
        <v>181</v>
      </c>
      <c r="F135" s="1" t="s">
        <v>303</v>
      </c>
      <c r="G135" s="21" t="s">
        <v>412</v>
      </c>
      <c r="H135" s="16" t="str">
        <f>IFERROR(VLOOKUP(Table5[[#This Row],[current WEkEO dataset]],WEkEO[],2,FALSE),"-")&amp;" / "&amp;IFERROR(VLOOKUP(Table5[[#This Row],[current WEkEO dataset]],WEkEO[],3,FALSE),"-")</f>
        <v>- / -</v>
      </c>
      <c r="I135" s="1" t="s">
        <v>305</v>
      </c>
      <c r="J135" s="22" t="s">
        <v>195</v>
      </c>
      <c r="K135" s="1" t="str" cm="1">
        <f t="array" ref="K135">INDEX(_xlfn.TEXTSPLIT(TRIM(Table5[[#This Row],[datasetIdentifier]]), "_"), COLUMNS(_xlfn.TEXTSPLIT(TRIM(Table5[[#This Row],[datasetIdentifier]]), "_")) - 2)</f>
        <v>1km</v>
      </c>
    </row>
    <row r="136" spans="1:12">
      <c r="A136" s="2">
        <f t="shared" si="2"/>
        <v>135</v>
      </c>
      <c r="B136" s="6"/>
      <c r="C136" s="2" t="s">
        <v>323</v>
      </c>
      <c r="D136" s="1" t="s">
        <v>180</v>
      </c>
      <c r="E136" s="1" t="s">
        <v>181</v>
      </c>
      <c r="F136" s="1" t="s">
        <v>413</v>
      </c>
      <c r="G136" t="s">
        <v>414</v>
      </c>
      <c r="H136" s="16" t="str">
        <f>IFERROR(VLOOKUP(Table5[[#This Row],[current WEkEO dataset]],WEkEO[],2,FALSE),"-")&amp;" / "&amp;IFERROR(VLOOKUP(Table5[[#This Row],[current WEkEO dataset]],WEkEO[],3,FALSE),"-")</f>
        <v>- / -</v>
      </c>
      <c r="I136" s="1" t="s">
        <v>415</v>
      </c>
      <c r="K136" s="1" t="str" cm="1">
        <f t="array" ref="K136">INDEX(_xlfn.TEXTSPLIT(TRIM(Table5[[#This Row],[datasetIdentifier]]), "_"), COLUMNS(_xlfn.TEXTSPLIT(TRIM(Table5[[#This Row],[datasetIdentifier]]), "_")) - 2)</f>
        <v>20m</v>
      </c>
      <c r="L136" s="1" t="s">
        <v>416</v>
      </c>
    </row>
    <row r="137" spans="1:12">
      <c r="A137" s="2">
        <f t="shared" si="2"/>
        <v>136</v>
      </c>
      <c r="B137" s="6"/>
      <c r="C137" s="2" t="s">
        <v>323</v>
      </c>
      <c r="D137" s="1" t="s">
        <v>180</v>
      </c>
      <c r="E137" s="1" t="s">
        <v>181</v>
      </c>
      <c r="F137" s="1" t="s">
        <v>252</v>
      </c>
      <c r="G137" t="s">
        <v>417</v>
      </c>
      <c r="H137" s="16" t="str">
        <f>IFERROR(VLOOKUP(Table5[[#This Row],[current WEkEO dataset]],WEkEO[],2,FALSE),"-")&amp;" / "&amp;IFERROR(VLOOKUP(Table5[[#This Row],[current WEkEO dataset]],WEkEO[],3,FALSE),"-")</f>
        <v>- / -</v>
      </c>
      <c r="I137" s="1" t="s">
        <v>254</v>
      </c>
      <c r="K137" s="1" t="str" cm="1">
        <f t="array" ref="K137">INDEX(_xlfn.TEXTSPLIT(TRIM(Table5[[#This Row],[datasetIdentifier]]), "_"), COLUMNS(_xlfn.TEXTSPLIT(TRIM(Table5[[#This Row],[datasetIdentifier]]), "_")) - 2)</f>
        <v>20m</v>
      </c>
      <c r="L137" s="1" t="s">
        <v>416</v>
      </c>
    </row>
    <row r="138" spans="1:12">
      <c r="A138" s="2">
        <f t="shared" si="2"/>
        <v>137</v>
      </c>
      <c r="B138" s="6"/>
      <c r="C138" s="2" t="s">
        <v>323</v>
      </c>
      <c r="D138" s="1" t="s">
        <v>180</v>
      </c>
      <c r="E138" s="1" t="s">
        <v>181</v>
      </c>
      <c r="F138" s="1" t="s">
        <v>252</v>
      </c>
      <c r="G138" t="s">
        <v>418</v>
      </c>
      <c r="H138" s="16" t="str">
        <f>IFERROR(VLOOKUP(Table5[[#This Row],[current WEkEO dataset]],WEkEO[],2,FALSE),"-")&amp;" / "&amp;IFERROR(VLOOKUP(Table5[[#This Row],[current WEkEO dataset]],WEkEO[],3,FALSE),"-")</f>
        <v>- / -</v>
      </c>
      <c r="I138" s="1" t="s">
        <v>254</v>
      </c>
      <c r="K138" s="1" t="str" cm="1">
        <f t="array" ref="K138">INDEX(_xlfn.TEXTSPLIT(TRIM(Table5[[#This Row],[datasetIdentifier]]), "_"), COLUMNS(_xlfn.TEXTSPLIT(TRIM(Table5[[#This Row],[datasetIdentifier]]), "_")) - 2)</f>
        <v>60m</v>
      </c>
      <c r="L138" s="1" t="s">
        <v>416</v>
      </c>
    </row>
    <row r="139" spans="1:12">
      <c r="A139" s="2">
        <f t="shared" si="2"/>
        <v>138</v>
      </c>
      <c r="B139" s="6"/>
      <c r="C139" s="2" t="s">
        <v>323</v>
      </c>
      <c r="D139" s="1" t="s">
        <v>180</v>
      </c>
      <c r="E139" s="1" t="s">
        <v>181</v>
      </c>
      <c r="F139" s="1" t="s">
        <v>419</v>
      </c>
      <c r="G139" t="s">
        <v>420</v>
      </c>
      <c r="H139" s="16" t="str">
        <f>IFERROR(VLOOKUP(Table5[[#This Row],[current WEkEO dataset]],WEkEO[],2,FALSE),"-")&amp;" / "&amp;IFERROR(VLOOKUP(Table5[[#This Row],[current WEkEO dataset]],WEkEO[],3,FALSE),"-")</f>
        <v>- / -</v>
      </c>
      <c r="I139" s="1" t="s">
        <v>421</v>
      </c>
      <c r="K139" s="1" t="str" cm="1">
        <f t="array" ref="K139">INDEX(_xlfn.TEXTSPLIT(TRIM(Table5[[#This Row],[datasetIdentifier]]), "_"), COLUMNS(_xlfn.TEXTSPLIT(TRIM(Table5[[#This Row],[datasetIdentifier]]), "_")) - 2)</f>
        <v>60m</v>
      </c>
      <c r="L139" s="1" t="s">
        <v>416</v>
      </c>
    </row>
    <row r="140" spans="1:12">
      <c r="A140" s="2">
        <f t="shared" si="2"/>
        <v>139</v>
      </c>
      <c r="B140" s="6"/>
      <c r="C140" s="2" t="s">
        <v>323</v>
      </c>
      <c r="D140" s="1" t="s">
        <v>180</v>
      </c>
      <c r="E140" s="1" t="s">
        <v>181</v>
      </c>
      <c r="F140" s="1" t="s">
        <v>419</v>
      </c>
      <c r="G140" t="s">
        <v>422</v>
      </c>
      <c r="H140" s="16" t="str">
        <f>IFERROR(VLOOKUP(Table5[[#This Row],[current WEkEO dataset]],WEkEO[],2,FALSE),"-")&amp;" / "&amp;IFERROR(VLOOKUP(Table5[[#This Row],[current WEkEO dataset]],WEkEO[],3,FALSE),"-")</f>
        <v>- / -</v>
      </c>
      <c r="I140" s="1" t="s">
        <v>421</v>
      </c>
      <c r="K140" s="1" t="str" cm="1">
        <f t="array" ref="K140">INDEX(_xlfn.TEXTSPLIT(TRIM(Table5[[#This Row],[datasetIdentifier]]), "_"), COLUMNS(_xlfn.TEXTSPLIT(TRIM(Table5[[#This Row],[datasetIdentifier]]), "_")) - 2)</f>
        <v>60m</v>
      </c>
      <c r="L140" s="1" t="s">
        <v>416</v>
      </c>
    </row>
    <row r="141" spans="1:12">
      <c r="A141" s="2">
        <f t="shared" si="2"/>
        <v>140</v>
      </c>
      <c r="B141" s="6"/>
      <c r="C141" s="2" t="s">
        <v>323</v>
      </c>
      <c r="D141" s="1" t="s">
        <v>180</v>
      </c>
      <c r="E141" s="1" t="s">
        <v>181</v>
      </c>
      <c r="F141" s="1" t="s">
        <v>252</v>
      </c>
      <c r="G141" t="s">
        <v>423</v>
      </c>
      <c r="H141" s="16" t="str">
        <f>IFERROR(VLOOKUP(Table5[[#This Row],[current WEkEO dataset]],WEkEO[],2,FALSE),"-")&amp;" / "&amp;IFERROR(VLOOKUP(Table5[[#This Row],[current WEkEO dataset]],WEkEO[],3,FALSE),"-")</f>
        <v>- / -</v>
      </c>
      <c r="I141" s="1" t="s">
        <v>254</v>
      </c>
      <c r="K141" s="1" t="str" cm="1">
        <f t="array" ref="K141">INDEX(_xlfn.TEXTSPLIT(TRIM(Table5[[#This Row],[datasetIdentifier]]), "_"), COLUMNS(_xlfn.TEXTSPLIT(TRIM(Table5[[#This Row],[datasetIdentifier]]), "_")) - 2)</f>
        <v>60m</v>
      </c>
      <c r="L141" s="1" t="s">
        <v>416</v>
      </c>
    </row>
    <row r="142" spans="1:12">
      <c r="A142" s="2">
        <f t="shared" si="2"/>
        <v>141</v>
      </c>
      <c r="B142" s="6"/>
      <c r="C142" s="2" t="s">
        <v>323</v>
      </c>
      <c r="D142" s="1" t="s">
        <v>180</v>
      </c>
      <c r="E142" s="1" t="s">
        <v>181</v>
      </c>
      <c r="F142" s="1" t="s">
        <v>252</v>
      </c>
      <c r="G142" t="s">
        <v>424</v>
      </c>
      <c r="H142" s="16" t="str">
        <f>IFERROR(VLOOKUP(Table5[[#This Row],[current WEkEO dataset]],WEkEO[],2,FALSE),"-")&amp;" / "&amp;IFERROR(VLOOKUP(Table5[[#This Row],[current WEkEO dataset]],WEkEO[],3,FALSE),"-")</f>
        <v>- / -</v>
      </c>
      <c r="I142" s="1" t="s">
        <v>254</v>
      </c>
      <c r="K142" s="1" t="str" cm="1">
        <f t="array" ref="K142">INDEX(_xlfn.TEXTSPLIT(TRIM(Table5[[#This Row],[datasetIdentifier]]), "_"), COLUMNS(_xlfn.TEXTSPLIT(TRIM(Table5[[#This Row],[datasetIdentifier]]), "_")) - 2)</f>
        <v>20m</v>
      </c>
      <c r="L142" s="1" t="s">
        <v>416</v>
      </c>
    </row>
    <row r="143" spans="1:12">
      <c r="A143" s="2">
        <f t="shared" si="2"/>
        <v>142</v>
      </c>
      <c r="B143" s="6"/>
      <c r="C143" s="2" t="s">
        <v>323</v>
      </c>
      <c r="D143" s="1" t="s">
        <v>180</v>
      </c>
      <c r="E143" s="1" t="s">
        <v>181</v>
      </c>
      <c r="F143" s="1" t="s">
        <v>241</v>
      </c>
      <c r="G143" t="s">
        <v>425</v>
      </c>
      <c r="H143" s="16" t="str">
        <f>IFERROR(VLOOKUP(Table5[[#This Row],[current WEkEO dataset]],WEkEO[],2,FALSE),"-")&amp;" / "&amp;IFERROR(VLOOKUP(Table5[[#This Row],[current WEkEO dataset]],WEkEO[],3,FALSE),"-")</f>
        <v>- / -</v>
      </c>
      <c r="I143" s="1" t="s">
        <v>243</v>
      </c>
      <c r="K143" s="1" t="str" cm="1">
        <f t="array" ref="K143">INDEX(_xlfn.TEXTSPLIT(TRIM(Table5[[#This Row],[datasetIdentifier]]), "_"), COLUMNS(_xlfn.TEXTSPLIT(TRIM(Table5[[#This Row],[datasetIdentifier]]), "_")) - 2)</f>
        <v>20m</v>
      </c>
      <c r="L143" s="1" t="s">
        <v>416</v>
      </c>
    </row>
    <row r="144" spans="1:12">
      <c r="A144" s="2">
        <f t="shared" si="2"/>
        <v>143</v>
      </c>
      <c r="B144" s="6"/>
      <c r="C144" s="2" t="s">
        <v>323</v>
      </c>
      <c r="D144" s="1" t="s">
        <v>180</v>
      </c>
      <c r="E144" s="1" t="s">
        <v>181</v>
      </c>
      <c r="F144" s="1" t="s">
        <v>241</v>
      </c>
      <c r="G144" t="s">
        <v>426</v>
      </c>
      <c r="H144" s="16" t="str">
        <f>IFERROR(VLOOKUP(Table5[[#This Row],[current WEkEO dataset]],WEkEO[],2,FALSE),"-")&amp;" / "&amp;IFERROR(VLOOKUP(Table5[[#This Row],[current WEkEO dataset]],WEkEO[],3,FALSE),"-")</f>
        <v>- / -</v>
      </c>
      <c r="I144" s="1" t="s">
        <v>243</v>
      </c>
      <c r="K144" s="1" t="str" cm="1">
        <f t="array" ref="K144">INDEX(_xlfn.TEXTSPLIT(TRIM(Table5[[#This Row],[datasetIdentifier]]), "_"), COLUMNS(_xlfn.TEXTSPLIT(TRIM(Table5[[#This Row],[datasetIdentifier]]), "_")) - 2)</f>
        <v>60m</v>
      </c>
      <c r="L144" s="1" t="s">
        <v>416</v>
      </c>
    </row>
    <row r="145" spans="1:12">
      <c r="A145" s="2">
        <f t="shared" si="2"/>
        <v>144</v>
      </c>
      <c r="B145" s="6"/>
      <c r="C145" s="2" t="s">
        <v>323</v>
      </c>
      <c r="D145" s="1" t="s">
        <v>180</v>
      </c>
      <c r="E145" s="1" t="s">
        <v>181</v>
      </c>
      <c r="F145" s="1" t="s">
        <v>241</v>
      </c>
      <c r="G145" t="s">
        <v>427</v>
      </c>
      <c r="H145" s="16" t="str">
        <f>IFERROR(VLOOKUP(Table5[[#This Row],[current WEkEO dataset]],WEkEO[],2,FALSE),"-")&amp;" / "&amp;IFERROR(VLOOKUP(Table5[[#This Row],[current WEkEO dataset]],WEkEO[],3,FALSE),"-")</f>
        <v>- / -</v>
      </c>
      <c r="I145" s="1" t="s">
        <v>243</v>
      </c>
      <c r="K145" s="1" t="str" cm="1">
        <f t="array" ref="K145">INDEX(_xlfn.TEXTSPLIT(TRIM(Table5[[#This Row],[datasetIdentifier]]), "_"), COLUMNS(_xlfn.TEXTSPLIT(TRIM(Table5[[#This Row],[datasetIdentifier]]), "_")) - 2)</f>
        <v>20m</v>
      </c>
      <c r="L145" s="1" t="s">
        <v>416</v>
      </c>
    </row>
    <row r="146" spans="1:12">
      <c r="A146" s="2">
        <f t="shared" si="2"/>
        <v>145</v>
      </c>
      <c r="B146" s="6"/>
      <c r="C146" s="2" t="s">
        <v>323</v>
      </c>
      <c r="D146" s="1" t="s">
        <v>180</v>
      </c>
      <c r="E146" s="1" t="s">
        <v>181</v>
      </c>
      <c r="F146" s="1" t="s">
        <v>241</v>
      </c>
      <c r="G146" t="s">
        <v>428</v>
      </c>
      <c r="H146" s="16" t="str">
        <f>IFERROR(VLOOKUP(Table5[[#This Row],[current WEkEO dataset]],WEkEO[],2,FALSE),"-")&amp;" / "&amp;IFERROR(VLOOKUP(Table5[[#This Row],[current WEkEO dataset]],WEkEO[],3,FALSE),"-")</f>
        <v>- / -</v>
      </c>
      <c r="I146" s="1" t="s">
        <v>243</v>
      </c>
      <c r="K146" s="1" t="str" cm="1">
        <f t="array" ref="K146">INDEX(_xlfn.TEXTSPLIT(TRIM(Table5[[#This Row],[datasetIdentifier]]), "_"), COLUMNS(_xlfn.TEXTSPLIT(TRIM(Table5[[#This Row],[datasetIdentifier]]), "_")) - 2)</f>
        <v>20m</v>
      </c>
      <c r="L146" s="1" t="s">
        <v>416</v>
      </c>
    </row>
    <row r="147" spans="1:12">
      <c r="A147" s="2">
        <f t="shared" si="2"/>
        <v>146</v>
      </c>
      <c r="B147" s="6"/>
      <c r="C147" s="2" t="s">
        <v>323</v>
      </c>
      <c r="D147" s="1" t="s">
        <v>180</v>
      </c>
      <c r="E147" s="1" t="s">
        <v>181</v>
      </c>
      <c r="F147" s="1" t="s">
        <v>429</v>
      </c>
      <c r="G147" s="1" t="s">
        <v>430</v>
      </c>
      <c r="H147" s="16" t="str">
        <f>IFERROR(VLOOKUP(Table5[[#This Row],[current WEkEO dataset]],WEkEO[],2,FALSE),"-")&amp;" / "&amp;IFERROR(VLOOKUP(Table5[[#This Row],[current WEkEO dataset]],WEkEO[],3,FALSE),"-")</f>
        <v>- / -</v>
      </c>
      <c r="I147" s="1" t="s">
        <v>431</v>
      </c>
      <c r="K147" s="1" t="str" cm="1">
        <f t="array" ref="K147">INDEX(_xlfn.TEXTSPLIT(TRIM(Table5[[#This Row],[datasetIdentifier]]), "_"), COLUMNS(_xlfn.TEXTSPLIT(TRIM(Table5[[#This Row],[datasetIdentifier]]), "_")) - 2)</f>
        <v>10m</v>
      </c>
      <c r="L147" s="1" t="s">
        <v>416</v>
      </c>
    </row>
    <row r="148" spans="1:12">
      <c r="A148" s="2">
        <f t="shared" si="2"/>
        <v>147</v>
      </c>
      <c r="B148" s="6"/>
      <c r="C148" s="2" t="s">
        <v>323</v>
      </c>
      <c r="D148" s="1" t="s">
        <v>180</v>
      </c>
      <c r="E148" s="1" t="s">
        <v>181</v>
      </c>
      <c r="F148" s="1" t="s">
        <v>429</v>
      </c>
      <c r="G148" s="1" t="s">
        <v>432</v>
      </c>
      <c r="H148" s="16" t="str">
        <f>IFERROR(VLOOKUP(Table5[[#This Row],[current WEkEO dataset]],WEkEO[],2,FALSE),"-")&amp;" / "&amp;IFERROR(VLOOKUP(Table5[[#This Row],[current WEkEO dataset]],WEkEO[],3,FALSE),"-")</f>
        <v>- / -</v>
      </c>
      <c r="I148" s="1" t="s">
        <v>431</v>
      </c>
      <c r="K148" s="1" t="str" cm="1">
        <f t="array" ref="K148">INDEX(_xlfn.TEXTSPLIT(TRIM(Table5[[#This Row],[datasetIdentifier]]), "_"), COLUMNS(_xlfn.TEXTSPLIT(TRIM(Table5[[#This Row],[datasetIdentifier]]), "_")) - 2)</f>
        <v>10m</v>
      </c>
      <c r="L148" s="1" t="s">
        <v>416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orientation="portrait" verticalDpi="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ab27300-963f-4f8d-9bae-e9aa98dabc2e">
      <Terms xmlns="http://schemas.microsoft.com/office/infopath/2007/PartnerControls"/>
    </lcf76f155ced4ddcb4097134ff3c332f>
    <TaxCatchAll xmlns="bde7d478-d854-492c-97f6-92fba056400e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3875B7BFAFDF64C9394BFB5DCA3161C" ma:contentTypeVersion="17" ma:contentTypeDescription="Create a new document." ma:contentTypeScope="" ma:versionID="f466763451fa6859d0793f4622992c99">
  <xsd:schema xmlns:xsd="http://www.w3.org/2001/XMLSchema" xmlns:xs="http://www.w3.org/2001/XMLSchema" xmlns:p="http://schemas.microsoft.com/office/2006/metadata/properties" xmlns:ns2="0ab27300-963f-4f8d-9bae-e9aa98dabc2e" xmlns:ns3="bde7d478-d854-492c-97f6-92fba056400e" targetNamespace="http://schemas.microsoft.com/office/2006/metadata/properties" ma:root="true" ma:fieldsID="c17449c492ae232aedec55295a7da335" ns2:_="" ns3:_="">
    <xsd:import namespace="0ab27300-963f-4f8d-9bae-e9aa98dabc2e"/>
    <xsd:import namespace="bde7d478-d854-492c-97f6-92fba05640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DateTaken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b27300-963f-4f8d-9bae-e9aa98dabc2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de42cbc-566b-46c9-aea5-a71cdcd36d8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e7d478-d854-492c-97f6-92fba056400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d9c3cb8-5b8d-4ff3-8979-c1b07972ac2c}" ma:internalName="TaxCatchAll" ma:showField="CatchAllData" ma:web="bde7d478-d854-492c-97f6-92fba05640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0AC9AD7-2D52-4C0C-9613-2F33515E399B}"/>
</file>

<file path=customXml/itemProps2.xml><?xml version="1.0" encoding="utf-8"?>
<ds:datastoreItem xmlns:ds="http://schemas.openxmlformats.org/officeDocument/2006/customXml" ds:itemID="{0438B87B-4848-44A7-8971-6473A996F0CA}"/>
</file>

<file path=customXml/itemProps3.xml><?xml version="1.0" encoding="utf-8"?>
<ds:datastoreItem xmlns:ds="http://schemas.openxmlformats.org/officeDocument/2006/customXml" ds:itemID="{E446C001-EFF0-4B3D-9763-E3F022B758E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EUMETSAT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Peter Albert</dc:creator>
  <cp:keywords/>
  <dc:description/>
  <cp:lastModifiedBy>Justina Vitkute</cp:lastModifiedBy>
  <cp:revision/>
  <dcterms:created xsi:type="dcterms:W3CDTF">2026-02-25T14:15:26Z</dcterms:created>
  <dcterms:modified xsi:type="dcterms:W3CDTF">2026-04-28T12:55:58Z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0x01010083875B7BFAFDF64C9394BFB5DCA3161C</vt:lpwstr>
  </property>
  <property fmtid="{D5CDD505-2E9C-101B-9397-08002B2CF9AE}" pid="3" name="MediaServiceImageTags">
    <vt:lpwstr/>
  </property>
</Properties>
</file>